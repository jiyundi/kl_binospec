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_RschArchives\RSCH3_upload\kl_mmt\scripts\"/>
    </mc:Choice>
  </mc:AlternateContent>
  <xr:revisionPtr revIDLastSave="0" documentId="13_ncr:1_{37D031CE-E10A-47A5-9322-3BFFFC83A4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dshift_table" sheetId="1" r:id="rId1"/>
    <sheet name="other_calculations" sheetId="2" r:id="rId2"/>
  </sheets>
  <definedNames>
    <definedName name="_xlchart.v1.0" hidden="1">redshift_table!$BI$1</definedName>
    <definedName name="_xlchart.v1.1" hidden="1">redshift_table!$BI$2</definedName>
    <definedName name="_xlchart.v1.10" hidden="1">redshift_table!$BI$2:$BI$144</definedName>
    <definedName name="_xlchart.v1.11" hidden="1">redshift_table!$BI$3:$BI$144</definedName>
    <definedName name="_xlchart.v1.2" hidden="1">redshift_table!$BI$2:$BI$144</definedName>
    <definedName name="_xlchart.v1.3" hidden="1">redshift_table!$BI$3:$BI$144</definedName>
    <definedName name="_xlchart.v1.4" hidden="1">redshift_table!$BK$2</definedName>
    <definedName name="_xlchart.v1.5" hidden="1">redshift_table!$BK$3:$BK$144</definedName>
    <definedName name="_xlchart.v1.6" hidden="1">redshift_table!$BK$2</definedName>
    <definedName name="_xlchart.v1.7" hidden="1">redshift_table!$BK$3:$BK$144</definedName>
    <definedName name="_xlchart.v1.8" hidden="1">redshift_table!$BI$1</definedName>
    <definedName name="_xlchart.v1.9" hidden="1">redshift_table!$BI$2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E8" i="2"/>
  <c r="E7" i="2"/>
  <c r="E6" i="2"/>
  <c r="E5" i="2"/>
  <c r="E4" i="2"/>
  <c r="B4" i="2"/>
  <c r="E3" i="2"/>
  <c r="B3" i="2"/>
  <c r="E2" i="2"/>
  <c r="B2" i="2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<sst xmlns="http://schemas.openxmlformats.org/spreadsheetml/2006/main" count="954" uniqueCount="118">
  <si>
    <t>All</t>
  </si>
  <si>
    <t>Set_A_m1_231023</t>
  </si>
  <si>
    <t>Set_C</t>
  </si>
  <si>
    <t>Set_B_p1</t>
  </si>
  <si>
    <t>chi2</t>
  </si>
  <si>
    <t>slit</t>
  </si>
  <si>
    <t>z</t>
  </si>
  <si>
    <t>conf</t>
  </si>
  <si>
    <t>spec_quality</t>
  </si>
  <si>
    <t>grade1</t>
  </si>
  <si>
    <t>z1</t>
  </si>
  <si>
    <t>lines1</t>
  </si>
  <si>
    <t>grade3</t>
  </si>
  <si>
    <t>z3</t>
  </si>
  <si>
    <t>lines3</t>
  </si>
  <si>
    <t>grade2</t>
  </si>
  <si>
    <t>z2</t>
  </si>
  <si>
    <t>lines2</t>
  </si>
  <si>
    <t>note</t>
  </si>
  <si>
    <t>bad_line</t>
  </si>
  <si>
    <t>slit_RA</t>
  </si>
  <si>
    <t>slit_DEC</t>
  </si>
  <si>
    <t>M_s</t>
  </si>
  <si>
    <t>M_s_err</t>
  </si>
  <si>
    <t>g1</t>
  </si>
  <si>
    <t>g1_mean</t>
  </si>
  <si>
    <t>g1_err-</t>
  </si>
  <si>
    <t>g1_err+</t>
  </si>
  <si>
    <t>g2</t>
  </si>
  <si>
    <t>g2_mean</t>
  </si>
  <si>
    <t>g2_err-</t>
  </si>
  <si>
    <t>g2_err+</t>
  </si>
  <si>
    <t>theta_int</t>
  </si>
  <si>
    <t>theta_int_mean</t>
  </si>
  <si>
    <t>theta_int_err-</t>
  </si>
  <si>
    <t>theta_int_err+</t>
  </si>
  <si>
    <t>vcirc</t>
  </si>
  <si>
    <t>vcirc_mean</t>
  </si>
  <si>
    <t>vcirc_err-</t>
  </si>
  <si>
    <t>vcirc_err+</t>
  </si>
  <si>
    <t>cosi</t>
  </si>
  <si>
    <t>cosi_mean</t>
  </si>
  <si>
    <t>cosi_err-</t>
  </si>
  <si>
    <t>cosi_err+</t>
  </si>
  <si>
    <t>r_hl_disk</t>
  </si>
  <si>
    <t>r_hl_disk_mean</t>
  </si>
  <si>
    <t>r_hl_disk_err-</t>
  </si>
  <si>
    <t>r_hl_disk_err+</t>
  </si>
  <si>
    <t>flux</t>
  </si>
  <si>
    <t>flux_mean</t>
  </si>
  <si>
    <t>flux_err-</t>
  </si>
  <si>
    <t>flux_err+</t>
  </si>
  <si>
    <t>dx_disk</t>
  </si>
  <si>
    <t>dx_disk_mean</t>
  </si>
  <si>
    <t>dx_disk_err-</t>
  </si>
  <si>
    <t>dx_disk_err+</t>
  </si>
  <si>
    <t>dy_disk</t>
  </si>
  <si>
    <t>dy_disk_mean</t>
  </si>
  <si>
    <t>dy_disk_err-</t>
  </si>
  <si>
    <t>dy_disk_err+</t>
  </si>
  <si>
    <t>vscale</t>
  </si>
  <si>
    <t>vscale_mean</t>
  </si>
  <si>
    <t>vscale_err-</t>
  </si>
  <si>
    <t>vscale_err+</t>
  </si>
  <si>
    <t>chi2_image</t>
  </si>
  <si>
    <t>chi2_image_reduced</t>
  </si>
  <si>
    <t>chi2_spec_sum</t>
  </si>
  <si>
    <t>chi2_spec_reduced_avg</t>
  </si>
  <si>
    <t>chi2_joint</t>
  </si>
  <si>
    <t>chi2_joint_reduced_avg</t>
  </si>
  <si>
    <t>F</t>
  </si>
  <si>
    <t>F (ns)</t>
  </si>
  <si>
    <t>E</t>
  </si>
  <si>
    <t>E (fc)</t>
  </si>
  <si>
    <t>A</t>
  </si>
  <si>
    <t>Hb,O3a,O3b</t>
  </si>
  <si>
    <t>B (sky)</t>
  </si>
  <si>
    <t>O3a,O3b</t>
  </si>
  <si>
    <t>Hb,O3a</t>
  </si>
  <si>
    <t>B</t>
  </si>
  <si>
    <t>Hb,O3b</t>
  </si>
  <si>
    <t>Hg,Hb,O3b</t>
  </si>
  <si>
    <t>Hg</t>
  </si>
  <si>
    <t>D</t>
  </si>
  <si>
    <t>D (gc)</t>
  </si>
  <si>
    <t>N2a,N2b,Ha</t>
  </si>
  <si>
    <t>O3a</t>
  </si>
  <si>
    <t>BS</t>
  </si>
  <si>
    <t>More than one target in this slit, other z=0.2955 (N II, H alpha, S II; 3)</t>
  </si>
  <si>
    <t>O3b</t>
  </si>
  <si>
    <t>O2</t>
  </si>
  <si>
    <t>Very extended line, 8 Angstrom</t>
  </si>
  <si>
    <t>Hb</t>
  </si>
  <si>
    <t>AS</t>
  </si>
  <si>
    <t>O2,Hb</t>
  </si>
  <si>
    <t>Hg,Hb,O3a,O3b</t>
  </si>
  <si>
    <t>Single line, not likely [O II]</t>
  </si>
  <si>
    <t>C</t>
  </si>
  <si>
    <t>C (cs)</t>
  </si>
  <si>
    <t>More than one target in this slit, other z=0.991 ([O II]; 2.5)</t>
  </si>
  <si>
    <t>Two suspecious emission dots 320 Angstrom redwards of [O III]</t>
  </si>
  <si>
    <t>More than one target in this slit, other z=0.2545 (N II, H alpha, S II; 3)</t>
  </si>
  <si>
    <t>Hg,O3b</t>
  </si>
  <si>
    <t>One suspecious emission dot 300 Angstrom bluewards of H beta. Extra gal along light of sight?</t>
  </si>
  <si>
    <t>N2a</t>
  </si>
  <si>
    <t>Only one galaxy at slit position but two continuum observed</t>
  </si>
  <si>
    <t>Only one faint emission feature</t>
  </si>
  <si>
    <t>O3a,O3b,Ha,N2a,N2b</t>
  </si>
  <si>
    <t>O3b,Ha,N2a,N2b</t>
  </si>
  <si>
    <t>O3b,Ha</t>
  </si>
  <si>
    <t>N2a,O3a</t>
  </si>
  <si>
    <t>O2,O3b</t>
  </si>
  <si>
    <t>O2,Hb,O3b</t>
  </si>
  <si>
    <t>More than one target in this slit, other z=1.003 ([O II]; 2)</t>
  </si>
  <si>
    <t>More than one target in this slit, an [O II] at 100 Angstrom (z=1.1095). Extra gal along light of sight?</t>
  </si>
  <si>
    <t>Hb,O3a,O3b,Ha</t>
  </si>
  <si>
    <t>Hg,Hb,O3a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</si>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</sst>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_);[Red]\(0.000\)"/>
    <numFmt numFmtId="165" formatCode="0_);[Red]\(0\)"/>
    <numFmt numFmtId="166" formatCode="0.0"/>
  </numFmts>
  <fonts count="4">
    <font>
      <sz val="14"/>
      <color theme="1"/>
      <name val="Consolas"/>
      <family val="2"/>
      <charset val="134"/>
    </font>
    <font>
      <sz val="14"/>
      <color theme="1"/>
      <name val="Consolas"/>
      <family val="3"/>
    </font>
    <font>
      <sz val="12"/>
      <color theme="1"/>
      <name val="Consolas"/>
      <family val="3"/>
    </font>
    <font>
      <b/>
      <sz val="12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164" fontId="3" fillId="0" borderId="0" xfId="0" applyNumberFormat="1" applyFont="1">
      <alignment vertical="center"/>
    </xf>
    <xf numFmtId="165" fontId="2" fillId="0" borderId="0" xfId="0" applyNumberFormat="1" applyFont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166" fontId="0" fillId="0" borderId="0" xfId="0" applyNumberFormat="1">
      <alignment vertical="center"/>
    </xf>
    <xf numFmtId="166" fontId="2" fillId="0" borderId="0" xfId="0" applyNumberFormat="1" applyFont="1">
      <alignment vertical="center"/>
    </xf>
    <xf numFmtId="1" fontId="0" fillId="0" borderId="0" xfId="0" applyNumberFormat="1">
      <alignment vertical="center"/>
    </xf>
    <xf numFmtId="1" fontId="2" fillId="0" borderId="0" xfId="0" applyNumberFormat="1" applyFont="1">
      <alignment vertical="center"/>
    </xf>
  </cellXfs>
  <cellStyles count="1">
    <cellStyle name="Normal" xfId="0" builtinId="0"/>
  </cellStyles>
  <dxfs count="2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AC8C8"/>
        </patternFill>
      </fill>
    </dxf>
    <dxf>
      <fill>
        <patternFill>
          <bgColor rgb="FFFFC7CE"/>
        </patternFill>
      </fill>
    </dxf>
    <dxf>
      <font>
        <strike val="0"/>
        <outline val="0"/>
        <shadow val="0"/>
        <vertAlign val="baseline"/>
        <sz val="12"/>
        <color theme="1"/>
        <name val="Consolas"/>
        <family val="3"/>
      </font>
    </dxf>
    <dxf>
      <font>
        <strike val="0"/>
        <outline val="0"/>
        <shadow val="0"/>
        <vertAlign val="baseline"/>
        <sz val="12"/>
        <color theme="1"/>
        <name val="Consolas"/>
        <family val="3"/>
      </font>
      <border outline="0">
        <left style="thin">
          <color indexed="64"/>
        </left>
        <right/>
        <top/>
        <bottom/>
      </border>
    </dxf>
    <dxf>
      <font>
        <strike val="0"/>
        <outline val="0"/>
        <shadow val="0"/>
        <vertAlign val="baseline"/>
        <sz val="12"/>
        <color theme="1"/>
        <name val="Consolas"/>
        <family val="3"/>
      </font>
    </dxf>
    <dxf>
      <font>
        <b/>
        <strike val="0"/>
        <outline val="0"/>
        <shadow val="0"/>
        <vertAlign val="baseline"/>
        <sz val="12"/>
        <color theme="1"/>
        <name val="Consolas"/>
        <family val="3"/>
      </font>
    </dxf>
    <dxf>
      <font>
        <b/>
        <strike val="0"/>
        <outline val="0"/>
        <shadow val="0"/>
        <vertAlign val="baseline"/>
        <sz val="12"/>
        <color theme="1"/>
        <name val="Consolas"/>
        <family val="3"/>
      </font>
      <border outline="0">
        <left style="thin">
          <color indexed="64"/>
        </left>
        <right/>
        <top/>
        <bottom/>
      </border>
    </dxf>
    <dxf>
      <font>
        <strike val="0"/>
        <outline val="0"/>
        <shadow val="0"/>
        <vertAlign val="baseline"/>
        <sz val="12"/>
        <color theme="1"/>
        <name val="Consolas"/>
        <family val="3"/>
      </font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onsolas"/>
        <family val="3"/>
      </font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onsolas"/>
        <family val="3"/>
      </font>
      <border outline="0">
        <left style="thin">
          <color indexed="64"/>
        </left>
        <right/>
        <top/>
        <bottom/>
      </border>
    </dxf>
    <dxf>
      <font>
        <strike val="0"/>
        <outline val="0"/>
        <shadow val="0"/>
        <vertAlign val="baseline"/>
        <sz val="12"/>
        <color theme="1"/>
        <name val="Consolas"/>
        <family val="3"/>
      </font>
    </dxf>
    <dxf>
      <font>
        <b/>
        <strike val="0"/>
        <outline val="0"/>
        <shadow val="0"/>
        <vertAlign val="baseline"/>
        <sz val="12"/>
        <color theme="1"/>
        <name val="Consolas"/>
        <family val="3"/>
      </font>
    </dxf>
    <dxf>
      <font>
        <b/>
        <strike val="0"/>
        <outline val="0"/>
        <shadow val="0"/>
        <vertAlign val="baseline"/>
        <sz val="12"/>
        <color theme="1"/>
        <name val="Consolas"/>
        <family val="3"/>
      </font>
    </dxf>
    <dxf>
      <font>
        <strike val="0"/>
        <condense val="0"/>
        <extend val="0"/>
        <outline val="0"/>
        <shadow val="0"/>
        <vertAlign val="baseline"/>
        <sz val="12"/>
        <color theme="1"/>
        <name val="Consolas"/>
        <family val="3"/>
      </font>
      <numFmt numFmtId="165" formatCode="0_);[Red]\(0\)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onsolas"/>
        <family val="3"/>
      </font>
      <numFmt numFmtId="165" formatCode="0_);[Red]\(0\)"/>
    </dxf>
    <dxf>
      <font>
        <b/>
        <strike val="0"/>
        <outline val="0"/>
        <shadow val="0"/>
        <vertAlign val="baseline"/>
        <sz val="12"/>
        <color theme="1"/>
        <name val="Consolas"/>
        <family val="3"/>
      </font>
      <numFmt numFmtId="164" formatCode="0.000_);[Red]\(0.000\)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onsolas"/>
        <family val="3"/>
      </font>
    </dxf>
    <dxf>
      <font>
        <strike val="0"/>
        <outline val="0"/>
        <shadow val="0"/>
        <vertAlign val="baseline"/>
        <sz val="12"/>
        <color theme="1"/>
        <name val="Consolas"/>
        <family val="3"/>
      </font>
    </dxf>
    <dxf>
      <font>
        <strike val="0"/>
        <outline val="0"/>
        <shadow val="0"/>
        <vertAlign val="baseline"/>
        <sz val="12"/>
        <color theme="1"/>
        <name val="Consolas"/>
        <family val="3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1">
                <a:solidFill>
                  <a:schemeClr val="tx2"/>
                </a:solidFill>
              </a:rPr>
              <a:t>Secure (conf&gt;=2) redshift</a:t>
            </a:r>
            <a:r>
              <a:rPr lang="en-US" altLang="zh-CN" sz="1800" b="1" baseline="0">
                <a:solidFill>
                  <a:schemeClr val="tx2"/>
                </a:solidFill>
              </a:rPr>
              <a:t> confidence distribution</a:t>
            </a:r>
            <a:endParaRPr lang="en-US" altLang="zh-CN" sz="1800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8508358286200141"/>
          <c:y val="0.2395853860513425"/>
          <c:w val="0.63734457136519906"/>
          <c:h val="0.60496610383595095"/>
        </c:manualLayout>
      </c:layout>
      <c:doughnutChart>
        <c:varyColors val="1"/>
        <c:ser>
          <c:idx val="1"/>
          <c:order val="0"/>
          <c:tx>
            <c:strRef>
              <c:f>other_calculations!$B$1</c:f>
              <c:strCache>
                <c:ptCount val="1"/>
                <c:pt idx="0">
                  <c:v>amount</c:v>
                </c:pt>
              </c:strCache>
            </c:strRef>
          </c:tx>
          <c:spPr>
            <a:ln w="0">
              <a:prstDash val="solid"/>
            </a:ln>
          </c:spPr>
          <c:explosion val="10"/>
          <c:dPt>
            <c:idx val="0"/>
            <c:bubble3D val="0"/>
            <c:spPr>
              <a:solidFill>
                <a:schemeClr val="accent2"/>
              </a:solidFill>
              <a:ln w="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D44-4709-9F93-0133DE50635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D44-4709-9F93-0133DE50635D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D44-4709-9F93-0133DE50635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other_calculations!$B$2:$B$4</c:f>
              <c:numCache>
                <c:formatCode>General</c:formatCode>
                <c:ptCount val="3"/>
                <c:pt idx="0">
                  <c:v>36</c:v>
                </c:pt>
                <c:pt idx="1">
                  <c:v>6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44-4709-9F93-0133DE5063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0"/>
        <c:holeSize val="31"/>
      </c:doughnut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1">
                <a:solidFill>
                  <a:schemeClr val="tx2"/>
                </a:solidFill>
              </a:rPr>
              <a:t>3-set comprehensive</a:t>
            </a:r>
            <a:r>
              <a:rPr lang="en-US" altLang="zh-CN" sz="1800" b="1" baseline="0">
                <a:solidFill>
                  <a:schemeClr val="tx2"/>
                </a:solidFill>
              </a:rPr>
              <a:t> </a:t>
            </a:r>
            <a:r>
              <a:rPr lang="en-US" altLang="zh-CN" sz="1800" b="1">
                <a:solidFill>
                  <a:schemeClr val="tx2"/>
                </a:solidFill>
              </a:rPr>
              <a:t>rotation curve</a:t>
            </a:r>
            <a:r>
              <a:rPr lang="en-US" altLang="zh-CN" sz="1800" b="1" baseline="0">
                <a:solidFill>
                  <a:schemeClr val="tx2"/>
                </a:solidFill>
              </a:rPr>
              <a:t> </a:t>
            </a:r>
            <a:r>
              <a:rPr lang="en-US" altLang="zh-CN" sz="1800" b="1">
                <a:solidFill>
                  <a:schemeClr val="tx2"/>
                </a:solidFill>
              </a:rPr>
              <a:t>quality </a:t>
            </a:r>
            <a:r>
              <a:rPr lang="en-US" altLang="zh-CN" sz="1800" b="1" baseline="0">
                <a:solidFill>
                  <a:schemeClr val="tx2"/>
                </a:solidFill>
              </a:rPr>
              <a:t>distribution</a:t>
            </a:r>
            <a:endParaRPr lang="en-US" altLang="zh-CN" sz="1800" b="1">
              <a:solidFill>
                <a:schemeClr val="tx2"/>
              </a:solidFill>
            </a:endParaRPr>
          </a:p>
        </c:rich>
      </c:tx>
      <c:layout>
        <c:manualLayout>
          <c:xMode val="edge"/>
          <c:yMode val="edge"/>
          <c:x val="0.14538407102752221"/>
          <c:y val="2.734115020464685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8508358286200141"/>
          <c:y val="0.23323549489447629"/>
          <c:w val="0.63734457136519906"/>
          <c:h val="0.60496610383595095"/>
        </c:manualLayout>
      </c:layout>
      <c:doughnutChart>
        <c:varyColors val="1"/>
        <c:ser>
          <c:idx val="0"/>
          <c:order val="0"/>
          <c:tx>
            <c:strRef>
              <c:f>other_calculations!$E$1</c:f>
              <c:strCache>
                <c:ptCount val="1"/>
                <c:pt idx="0">
                  <c:v>amount</c:v>
                </c:pt>
              </c:strCache>
            </c:strRef>
          </c:tx>
          <c:spPr>
            <a:ln>
              <a:prstDash val="solid"/>
            </a:ln>
          </c:spPr>
          <c:explosion val="18"/>
          <c:dPt>
            <c:idx val="0"/>
            <c:bubble3D val="0"/>
            <c:spPr>
              <a:solidFill>
                <a:schemeClr val="accent1">
                  <a:tint val="46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DF8-498F-9FDD-3C6A7564D1AC}"/>
              </c:ext>
            </c:extLst>
          </c:dPt>
          <c:dPt>
            <c:idx val="1"/>
            <c:bubble3D val="0"/>
            <c:spPr>
              <a:solidFill>
                <a:schemeClr val="accent1">
                  <a:tint val="62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DF8-498F-9FDD-3C6A7564D1AC}"/>
              </c:ext>
            </c:extLst>
          </c:dPt>
          <c:dPt>
            <c:idx val="2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DF8-498F-9FDD-3C6A7564D1AC}"/>
              </c:ext>
            </c:extLst>
          </c:dPt>
          <c:dPt>
            <c:idx val="3"/>
            <c:bubble3D val="0"/>
            <c:spPr>
              <a:solidFill>
                <a:schemeClr val="accent1">
                  <a:tint val="93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DF8-498F-9FDD-3C6A7564D1AC}"/>
              </c:ext>
            </c:extLst>
          </c:dPt>
          <c:dPt>
            <c:idx val="4"/>
            <c:bubble3D val="0"/>
            <c:spPr>
              <a:solidFill>
                <a:schemeClr val="accent1">
                  <a:shade val="92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DF8-498F-9FDD-3C6A7564D1AC}"/>
              </c:ext>
            </c:extLst>
          </c:dPt>
          <c:dPt>
            <c:idx val="5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DF8-498F-9FDD-3C6A7564D1AC}"/>
              </c:ext>
            </c:extLst>
          </c:dPt>
          <c:dPt>
            <c:idx val="6"/>
            <c:bubble3D val="0"/>
            <c:spPr>
              <a:solidFill>
                <a:schemeClr val="accent1">
                  <a:shade val="61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EDF8-498F-9FDD-3C6A7564D1AC}"/>
              </c:ext>
            </c:extLst>
          </c:dPt>
          <c:dPt>
            <c:idx val="7"/>
            <c:bubble3D val="0"/>
            <c:spPr>
              <a:solidFill>
                <a:schemeClr val="accent1">
                  <a:shade val="45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EDF8-498F-9FDD-3C6A7564D1A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other_calculations!$D$2:$D$9</c:f>
              <c:strCache>
                <c:ptCount val="8"/>
                <c:pt idx="0">
                  <c:v>A</c:v>
                </c:pt>
                <c:pt idx="1">
                  <c:v>AS</c:v>
                </c:pt>
                <c:pt idx="2">
                  <c:v>B</c:v>
                </c:pt>
                <c:pt idx="3">
                  <c:v>BS</c:v>
                </c:pt>
                <c:pt idx="4">
                  <c:v>C</c:v>
                </c:pt>
                <c:pt idx="5">
                  <c:v>D</c:v>
                </c:pt>
                <c:pt idx="6">
                  <c:v>E</c:v>
                </c:pt>
                <c:pt idx="7">
                  <c:v>F</c:v>
                </c:pt>
              </c:strCache>
            </c:strRef>
          </c:cat>
          <c:val>
            <c:numRef>
              <c:f>other_calculations!$E$2:$E$9</c:f>
              <c:numCache>
                <c:formatCode>General</c:formatCode>
                <c:ptCount val="8"/>
                <c:pt idx="0">
                  <c:v>71</c:v>
                </c:pt>
                <c:pt idx="1">
                  <c:v>5</c:v>
                </c:pt>
                <c:pt idx="2">
                  <c:v>25</c:v>
                </c:pt>
                <c:pt idx="3">
                  <c:v>5</c:v>
                </c:pt>
                <c:pt idx="4">
                  <c:v>8</c:v>
                </c:pt>
                <c:pt idx="5">
                  <c:v>4</c:v>
                </c:pt>
                <c:pt idx="6">
                  <c:v>20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DF8-498F-9FDD-3C6A7564D1A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248"/>
        <c:holeSize val="25"/>
      </c:doughnutChart>
    </c:plotArea>
    <c:legend>
      <c:legendPos val="b"/>
      <c:layout>
        <c:manualLayout>
          <c:xMode val="edge"/>
          <c:yMode val="edge"/>
          <c:x val="0"/>
          <c:y val="0.91691936650607109"/>
          <c:w val="1"/>
          <c:h val="8.3080633493928746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chi2_image_reduced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800"/>
          </a:pPr>
          <a:r>
            <a:rPr lang="en-US" sz="18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chi2_image_reduced</a:t>
          </a:r>
        </a:p>
      </cx:txPr>
    </cx:title>
    <cx:plotArea>
      <cx:plotAreaRegion>
        <cx:series layoutId="clusteredColumn" uniqueId="{7A9A3E8F-ADCA-4462-9DA1-D578049C036C}">
          <cx:tx>
            <cx:txData>
              <cx:f>_xlchart.v1.1</cx:f>
              <cx:v>chi2_image_reduced</cx:v>
            </cx:txData>
          </cx:tx>
          <cx:dataLabels>
            <cx:visibility seriesName="0" categoryName="0" value="1"/>
          </cx:dataLabels>
          <cx:dataId val="0"/>
          <cx:layoutPr>
            <cx:binning intervalClosed="r" underflow="1" overflow="10">
              <cx:binSize val="1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en-U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/>
            </a:pPr>
            <a:endParaRPr lang="en-US" sz="105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chi2_spec_reduced_avg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800"/>
          </a:pPr>
          <a:r>
            <a:rPr lang="en-US" sz="18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chi2_spec_reduced_avg</a:t>
          </a:r>
        </a:p>
      </cx:txPr>
    </cx:title>
    <cx:plotArea>
      <cx:plotAreaRegion>
        <cx:series layoutId="clusteredColumn" uniqueId="{1ADDF76D-3E87-45CE-8BA6-297B67E46E9D}">
          <cx:tx>
            <cx:txData>
              <cx:f>_xlchart.v1.6</cx:f>
              <cx:v>chi2_spec_reduced_avg</cx:v>
            </cx:txData>
          </cx:tx>
          <cx:spPr>
            <a:solidFill>
              <a:schemeClr val="accent6"/>
            </a:solidFill>
          </cx:spPr>
          <cx:dataLabels>
            <cx:visibility seriesName="0" categoryName="0" value="1"/>
          </cx:dataLabels>
          <cx:dataId val="0"/>
          <cx:layoutPr>
            <cx:binning intervalClosed="r" underflow="0.5" overflow="2.5">
              <cx:binSize val="0.25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/>
            </a:pPr>
            <a:endParaRPr lang="en-US" sz="105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/>
            </a:pPr>
            <a:endParaRPr lang="en-US" sz="105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180975</xdr:colOff>
      <xdr:row>144</xdr:row>
      <xdr:rowOff>180975</xdr:rowOff>
    </xdr:from>
    <xdr:to>
      <xdr:col>13</xdr:col>
      <xdr:colOff>3562350</xdr:colOff>
      <xdr:row>154</xdr:row>
      <xdr:rowOff>314325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84667</xdr:colOff>
      <xdr:row>155</xdr:row>
      <xdr:rowOff>67732</xdr:rowOff>
    </xdr:from>
    <xdr:to>
      <xdr:col>5</xdr:col>
      <xdr:colOff>561975</xdr:colOff>
      <xdr:row>166</xdr:row>
      <xdr:rowOff>169334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52</xdr:col>
      <xdr:colOff>1153887</xdr:colOff>
      <xdr:row>2</xdr:row>
      <xdr:rowOff>130628</xdr:rowOff>
    </xdr:from>
    <xdr:to>
      <xdr:col>59</xdr:col>
      <xdr:colOff>5443</xdr:colOff>
      <xdr:row>10</xdr:row>
      <xdr:rowOff>87085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B789341E-EA44-72E3-DE26-4BE403BE19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277658" y="827314"/>
              <a:ext cx="7407728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52</xdr:col>
      <xdr:colOff>1094014</xdr:colOff>
      <xdr:row>10</xdr:row>
      <xdr:rowOff>326580</xdr:rowOff>
    </xdr:from>
    <xdr:to>
      <xdr:col>59</xdr:col>
      <xdr:colOff>10886</xdr:colOff>
      <xdr:row>18</xdr:row>
      <xdr:rowOff>283038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C7F5CF2A-D0ED-D47F-F465-B99A1B6515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217785" y="3810009"/>
              <a:ext cx="747304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O144" totalsRowShown="0" headerRowDxfId="22" dataDxfId="21">
  <autoFilter ref="A2:O144" xr:uid="{00000000-0009-0000-0100-000001000000}"/>
  <tableColumns count="15">
    <tableColumn id="1" xr3:uid="{00000000-0010-0000-0000-000001000000}" name="slit" dataDxfId="20"/>
    <tableColumn id="7" xr3:uid="{00000000-0010-0000-0000-000007000000}" name="z" dataDxfId="19">
      <calculatedColumnFormula>IFERROR(AVERAGE(F3,L3,I3),"")</calculatedColumnFormula>
    </tableColumn>
    <tableColumn id="9" xr3:uid="{00000000-0010-0000-0000-000009000000}" name="conf" dataDxfId="18"/>
    <tableColumn id="6" xr3:uid="{00000000-0010-0000-0000-000006000000}" name="spec_quality" dataDxfId="17"/>
    <tableColumn id="5" xr3:uid="{00000000-0010-0000-0000-000005000000}" name="grade1" dataDxfId="16"/>
    <tableColumn id="13" xr3:uid="{00000000-0010-0000-0000-00000D000000}" name="z1" dataDxfId="15"/>
    <tableColumn id="3" xr3:uid="{00000000-0010-0000-0000-000003000000}" name="lines1" dataDxfId="14"/>
    <tableColumn id="16" xr3:uid="{00000000-0010-0000-0000-000010000000}" name="grade3" dataDxfId="13"/>
    <tableColumn id="15" xr3:uid="{00000000-0010-0000-0000-00000F000000}" name="z3" dataDxfId="12"/>
    <tableColumn id="14" xr3:uid="{00000000-0010-0000-0000-00000E000000}" name="lines3" dataDxfId="11"/>
    <tableColumn id="2" xr3:uid="{00000000-0010-0000-0000-000002000000}" name="grade2" dataDxfId="10"/>
    <tableColumn id="11" xr3:uid="{00000000-0010-0000-0000-00000B000000}" name="z2" dataDxfId="9"/>
    <tableColumn id="4" xr3:uid="{00000000-0010-0000-0000-000004000000}" name="lines2" dataDxfId="8"/>
    <tableColumn id="10" xr3:uid="{00000000-0010-0000-0000-00000A000000}" name="note" dataDxfId="7"/>
    <tableColumn id="8" xr3:uid="{00000000-0010-0000-0000-000008000000}" name="bad_line" dataDxfId="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44"/>
  <sheetViews>
    <sheetView tabSelected="1" zoomScale="70" zoomScaleNormal="70" workbookViewId="0">
      <pane xSplit="1" ySplit="2" topLeftCell="BE3" activePane="bottomRight" state="frozen"/>
      <selection pane="topRight" activeCell="B1" sqref="B1"/>
      <selection pane="bottomLeft" activeCell="A3" sqref="A3"/>
      <selection pane="bottomRight" activeCell="BI21" sqref="BI21"/>
    </sheetView>
  </sheetViews>
  <sheetFormatPr defaultColWidth="8.765625" defaultRowHeight="27" customHeight="1"/>
  <cols>
    <col min="1" max="1" width="5.61328125" style="4" bestFit="1" customWidth="1"/>
    <col min="2" max="2" width="5.765625" style="4" bestFit="1" customWidth="1"/>
    <col min="3" max="3" width="5.61328125" style="3" bestFit="1" customWidth="1"/>
    <col min="4" max="4" width="12.3828125" style="3" bestFit="1" customWidth="1"/>
    <col min="5" max="5" width="13.4609375" style="4" bestFit="1" customWidth="1"/>
    <col min="6" max="6" width="5.765625" style="4" bestFit="1" customWidth="1"/>
    <col min="7" max="7" width="16" style="3" bestFit="1" customWidth="1"/>
    <col min="8" max="8" width="7.3046875" style="3" bestFit="1" customWidth="1"/>
    <col min="9" max="9" width="5.765625" style="3" bestFit="1" customWidth="1"/>
    <col min="10" max="10" width="12.53515625" style="3" bestFit="1" customWidth="1"/>
    <col min="11" max="11" width="7.4609375" style="4" bestFit="1" customWidth="1"/>
    <col min="12" max="12" width="5.765625" style="4" bestFit="1" customWidth="1"/>
    <col min="13" max="13" width="11.69140625" style="3" bestFit="1" customWidth="1"/>
    <col min="14" max="14" width="6.69140625" style="4" customWidth="1"/>
    <col min="15" max="15" width="9.15234375" style="3" bestFit="1" customWidth="1"/>
    <col min="16" max="16" width="9.84375" style="3" bestFit="1" customWidth="1"/>
    <col min="17" max="17" width="10.84375" style="3" bestFit="1" customWidth="1"/>
    <col min="18" max="18" width="6.84375" style="3" bestFit="1" customWidth="1"/>
    <col min="19" max="19" width="7.84375" style="3" bestFit="1" customWidth="1"/>
    <col min="20" max="20" width="12.921875" style="9" bestFit="1" customWidth="1"/>
    <col min="21" max="23" width="7.84375" style="9" bestFit="1" customWidth="1"/>
    <col min="24" max="24" width="12.921875" style="9" bestFit="1" customWidth="1"/>
    <col min="25" max="27" width="7.84375" style="9" bestFit="1" customWidth="1"/>
    <col min="28" max="28" width="12.921875" style="9" bestFit="1" customWidth="1"/>
    <col min="29" max="31" width="14.921875" style="9" bestFit="1" customWidth="1"/>
    <col min="32" max="32" width="11.84375" style="9" bestFit="1" customWidth="1"/>
    <col min="33" max="35" width="10.84375" style="9" bestFit="1" customWidth="1"/>
    <col min="36" max="36" width="11.84375" style="9" bestFit="1" customWidth="1"/>
    <col min="37" max="39" width="9.84375" style="9" bestFit="1" customWidth="1"/>
    <col min="40" max="40" width="11.84375" style="9" bestFit="1" customWidth="1"/>
    <col min="41" max="43" width="14.921875" style="9" bestFit="1" customWidth="1"/>
    <col min="44" max="44" width="11.84375" style="9" bestFit="1" customWidth="1"/>
    <col min="45" max="47" width="9.84375" style="9" bestFit="1" customWidth="1"/>
    <col min="48" max="55" width="12.921875" style="9" bestFit="1" customWidth="1"/>
    <col min="56" max="59" width="11.84375" style="9" bestFit="1" customWidth="1"/>
    <col min="60" max="60" width="12.84375" style="14" bestFit="1" customWidth="1"/>
    <col min="61" max="61" width="20.69140625" style="12" bestFit="1" customWidth="1"/>
    <col min="62" max="62" width="15.15234375" style="14" bestFit="1" customWidth="1"/>
    <col min="63" max="63" width="24.07421875" style="12" bestFit="1" customWidth="1"/>
    <col min="64" max="64" width="12.84375" style="14" bestFit="1" customWidth="1"/>
    <col min="65" max="65" width="25.15234375" style="12" bestFit="1" customWidth="1"/>
    <col min="66" max="16384" width="8.765625" style="3"/>
  </cols>
  <sheetData>
    <row r="1" spans="1:65" ht="27" customHeight="1">
      <c r="B1" s="4" t="s">
        <v>0</v>
      </c>
      <c r="E1" s="5" t="s">
        <v>1</v>
      </c>
      <c r="H1" s="5" t="s">
        <v>2</v>
      </c>
      <c r="K1" s="5" t="s">
        <v>3</v>
      </c>
      <c r="N1" s="6"/>
      <c r="BH1" s="13" t="s">
        <v>4</v>
      </c>
    </row>
    <row r="2" spans="1:65" ht="27" customHeight="1">
      <c r="A2" s="4" t="s">
        <v>5</v>
      </c>
      <c r="B2" s="4" t="s">
        <v>6</v>
      </c>
      <c r="C2" s="3" t="s">
        <v>7</v>
      </c>
      <c r="D2" s="3" t="s">
        <v>8</v>
      </c>
      <c r="E2" s="5" t="s">
        <v>9</v>
      </c>
      <c r="F2" s="4" t="s">
        <v>10</v>
      </c>
      <c r="G2" s="3" t="s">
        <v>11</v>
      </c>
      <c r="H2" s="5" t="s">
        <v>12</v>
      </c>
      <c r="I2" s="4" t="s">
        <v>13</v>
      </c>
      <c r="J2" s="3" t="s">
        <v>14</v>
      </c>
      <c r="K2" s="5" t="s">
        <v>15</v>
      </c>
      <c r="L2" s="4" t="s">
        <v>16</v>
      </c>
      <c r="M2" s="3" t="s">
        <v>17</v>
      </c>
      <c r="N2" s="6" t="s">
        <v>18</v>
      </c>
      <c r="O2" s="3" t="s">
        <v>19</v>
      </c>
      <c r="P2" t="s">
        <v>20</v>
      </c>
      <c r="Q2" t="s">
        <v>21</v>
      </c>
      <c r="R2" t="s">
        <v>22</v>
      </c>
      <c r="S2" t="s">
        <v>23</v>
      </c>
      <c r="T2" s="10" t="s">
        <v>24</v>
      </c>
      <c r="U2" s="10" t="s">
        <v>25</v>
      </c>
      <c r="V2" s="10" t="s">
        <v>26</v>
      </c>
      <c r="W2" s="10" t="s">
        <v>27</v>
      </c>
      <c r="X2" s="10" t="s">
        <v>28</v>
      </c>
      <c r="Y2" s="10" t="s">
        <v>29</v>
      </c>
      <c r="Z2" s="10" t="s">
        <v>30</v>
      </c>
      <c r="AA2" s="10" t="s">
        <v>31</v>
      </c>
      <c r="AB2" s="10" t="s">
        <v>32</v>
      </c>
      <c r="AC2" s="10" t="s">
        <v>33</v>
      </c>
      <c r="AD2" s="10" t="s">
        <v>34</v>
      </c>
      <c r="AE2" s="10" t="s">
        <v>35</v>
      </c>
      <c r="AF2" s="10" t="s">
        <v>36</v>
      </c>
      <c r="AG2" s="10" t="s">
        <v>37</v>
      </c>
      <c r="AH2" s="10" t="s">
        <v>38</v>
      </c>
      <c r="AI2" s="10" t="s">
        <v>39</v>
      </c>
      <c r="AJ2" s="10" t="s">
        <v>40</v>
      </c>
      <c r="AK2" s="10" t="s">
        <v>41</v>
      </c>
      <c r="AL2" s="10" t="s">
        <v>42</v>
      </c>
      <c r="AM2" s="10" t="s">
        <v>43</v>
      </c>
      <c r="AN2" s="10" t="s">
        <v>44</v>
      </c>
      <c r="AO2" s="10" t="s">
        <v>45</v>
      </c>
      <c r="AP2" s="10" t="s">
        <v>46</v>
      </c>
      <c r="AQ2" s="10" t="s">
        <v>47</v>
      </c>
      <c r="AR2" s="10" t="s">
        <v>48</v>
      </c>
      <c r="AS2" s="10" t="s">
        <v>49</v>
      </c>
      <c r="AT2" s="10" t="s">
        <v>50</v>
      </c>
      <c r="AU2" s="10" t="s">
        <v>51</v>
      </c>
      <c r="AV2" s="10" t="s">
        <v>52</v>
      </c>
      <c r="AW2" s="10" t="s">
        <v>53</v>
      </c>
      <c r="AX2" s="10" t="s">
        <v>54</v>
      </c>
      <c r="AY2" s="10" t="s">
        <v>55</v>
      </c>
      <c r="AZ2" s="10" t="s">
        <v>56</v>
      </c>
      <c r="BA2" s="10" t="s">
        <v>57</v>
      </c>
      <c r="BB2" s="10" t="s">
        <v>58</v>
      </c>
      <c r="BC2" s="10" t="s">
        <v>59</v>
      </c>
      <c r="BD2" s="10" t="s">
        <v>60</v>
      </c>
      <c r="BE2" s="10" t="s">
        <v>61</v>
      </c>
      <c r="BF2" s="10" t="s">
        <v>62</v>
      </c>
      <c r="BG2" s="10" t="s">
        <v>63</v>
      </c>
      <c r="BH2" s="13" t="s">
        <v>64</v>
      </c>
      <c r="BI2" s="11" t="s">
        <v>65</v>
      </c>
      <c r="BJ2" s="13" t="s">
        <v>66</v>
      </c>
      <c r="BK2" s="11" t="s">
        <v>67</v>
      </c>
      <c r="BL2" s="13" t="s">
        <v>68</v>
      </c>
      <c r="BM2" s="11" t="s">
        <v>69</v>
      </c>
    </row>
    <row r="3" spans="1:65" ht="27" customHeight="1">
      <c r="A3" s="4">
        <v>1</v>
      </c>
      <c r="B3" s="7" t="str">
        <f t="shared" ref="B3:B34" si="0">IFERROR(AVERAGE(F3,L3,I3),"")</f>
        <v/>
      </c>
      <c r="C3" s="8"/>
      <c r="D3" s="8" t="s">
        <v>70</v>
      </c>
      <c r="E3" s="5" t="s">
        <v>71</v>
      </c>
      <c r="H3" s="5" t="s">
        <v>71</v>
      </c>
      <c r="I3" s="4"/>
      <c r="K3" s="5" t="s">
        <v>71</v>
      </c>
      <c r="N3" s="6"/>
      <c r="P3">
        <v>42.166333999999999</v>
      </c>
      <c r="Q3">
        <v>-3.4023557000000002</v>
      </c>
    </row>
    <row r="4" spans="1:65" ht="27" customHeight="1">
      <c r="A4" s="4">
        <v>2</v>
      </c>
      <c r="B4" s="7" t="str">
        <f t="shared" si="0"/>
        <v/>
      </c>
      <c r="C4" s="8"/>
      <c r="D4" s="8" t="s">
        <v>72</v>
      </c>
      <c r="E4" s="5" t="s">
        <v>73</v>
      </c>
      <c r="H4" s="5" t="s">
        <v>73</v>
      </c>
      <c r="I4" s="4"/>
      <c r="K4" s="5" t="s">
        <v>73</v>
      </c>
      <c r="N4" s="6"/>
      <c r="P4">
        <v>42.195348000000003</v>
      </c>
      <c r="Q4">
        <v>-3.4206981000000001</v>
      </c>
    </row>
    <row r="5" spans="1:65" ht="27" customHeight="1">
      <c r="A5" s="4">
        <v>3</v>
      </c>
      <c r="B5" s="7">
        <f t="shared" si="0"/>
        <v>0.77300000000000002</v>
      </c>
      <c r="C5" s="8">
        <v>3</v>
      </c>
      <c r="D5" s="8" t="s">
        <v>74</v>
      </c>
      <c r="E5" s="5" t="s">
        <v>71</v>
      </c>
      <c r="H5" s="5" t="s">
        <v>74</v>
      </c>
      <c r="I5" s="4">
        <v>0.77300000000000002</v>
      </c>
      <c r="J5" s="3" t="s">
        <v>75</v>
      </c>
      <c r="K5" s="5" t="s">
        <v>76</v>
      </c>
      <c r="L5" s="4">
        <v>0.77300000000000002</v>
      </c>
      <c r="M5" s="3" t="s">
        <v>77</v>
      </c>
      <c r="N5" s="6"/>
      <c r="O5" s="3" t="s">
        <v>78</v>
      </c>
      <c r="P5">
        <v>42.179617</v>
      </c>
      <c r="Q5">
        <v>-3.4185338999999999</v>
      </c>
      <c r="R5">
        <v>9.6720000000000006</v>
      </c>
      <c r="S5">
        <v>9.8000000000000004E-2</v>
      </c>
      <c r="T5" s="10">
        <v>-0.14846105688898659</v>
      </c>
      <c r="U5" s="10">
        <v>-0.1477</v>
      </c>
      <c r="V5" s="10">
        <v>-1.6999999999999999E-3</v>
      </c>
      <c r="W5" s="10">
        <v>3.3E-3</v>
      </c>
      <c r="X5" s="10">
        <v>-0.1017796334452746</v>
      </c>
      <c r="Y5" s="10">
        <v>-3.4000000000000002E-2</v>
      </c>
      <c r="Z5" s="10">
        <v>-6.4899999999999999E-2</v>
      </c>
      <c r="AA5" s="10">
        <v>7.1800000000000003E-2</v>
      </c>
      <c r="AB5" s="10">
        <v>2.3512470806933692</v>
      </c>
      <c r="AC5" s="10">
        <v>2.3546</v>
      </c>
      <c r="AD5" s="10">
        <v>-1.5299999999999999E-2</v>
      </c>
      <c r="AE5" s="10">
        <v>1.4800000000000001E-2</v>
      </c>
      <c r="AF5" s="10">
        <v>227.28233272320591</v>
      </c>
      <c r="AG5" s="10">
        <v>173.1464</v>
      </c>
      <c r="AH5" s="10">
        <v>-13.872299999999999</v>
      </c>
      <c r="AI5" s="10">
        <v>12.9656</v>
      </c>
      <c r="AJ5" s="10">
        <v>0.53050237478461992</v>
      </c>
      <c r="AK5" s="10">
        <v>0.46729999999999999</v>
      </c>
      <c r="AL5" s="10">
        <v>-6.9000000000000006E-2</v>
      </c>
      <c r="AM5" s="10">
        <v>7.0999999999999994E-2</v>
      </c>
      <c r="AN5" s="10">
        <v>0.51857040486596062</v>
      </c>
      <c r="AO5" s="10">
        <v>0.54900000000000004</v>
      </c>
      <c r="AP5" s="10">
        <v>-3.49E-2</v>
      </c>
      <c r="AQ5" s="10">
        <v>4.1300000000000003E-2</v>
      </c>
      <c r="AR5" s="10">
        <v>4.5001395675310167</v>
      </c>
      <c r="AS5" s="10">
        <v>4.5007000000000001</v>
      </c>
      <c r="AT5" s="10">
        <v>-4.3E-3</v>
      </c>
      <c r="AU5" s="10">
        <v>4.1999999999999997E-3</v>
      </c>
      <c r="AV5" s="10">
        <v>0.26565991725585397</v>
      </c>
      <c r="AW5" s="10">
        <v>0.26579999999999998</v>
      </c>
      <c r="AX5" s="10">
        <v>-9.7000000000000003E-3</v>
      </c>
      <c r="AY5" s="10">
        <v>0.01</v>
      </c>
      <c r="AZ5" s="10">
        <v>-6.5640191300362805E-2</v>
      </c>
      <c r="BA5" s="10">
        <v>-5.5899999999999998E-2</v>
      </c>
      <c r="BB5" s="10">
        <v>-9.2999999999999992E-3</v>
      </c>
      <c r="BC5" s="10">
        <v>8.5000000000000006E-3</v>
      </c>
      <c r="BD5" s="10">
        <v>0.93254547484032324</v>
      </c>
      <c r="BE5" s="10">
        <v>0.67169999999999996</v>
      </c>
      <c r="BF5" s="10">
        <v>-0.1231</v>
      </c>
      <c r="BG5" s="10">
        <v>0.14560000000000001</v>
      </c>
      <c r="BH5" s="13">
        <v>1024.791015625</v>
      </c>
      <c r="BI5" s="11">
        <v>2.3887902462121211</v>
      </c>
      <c r="BJ5" s="13">
        <v>1094.6824487516069</v>
      </c>
      <c r="BK5" s="11">
        <v>0.6205682816052196</v>
      </c>
      <c r="BL5" s="13">
        <v>2119.4734643766069</v>
      </c>
      <c r="BM5" s="11">
        <v>1.5046792639086699</v>
      </c>
    </row>
    <row r="6" spans="1:65" ht="27" customHeight="1">
      <c r="A6" s="4">
        <v>4</v>
      </c>
      <c r="B6" s="7">
        <f t="shared" si="0"/>
        <v>0.66825000000000001</v>
      </c>
      <c r="C6" s="8">
        <v>3</v>
      </c>
      <c r="D6" s="8" t="s">
        <v>79</v>
      </c>
      <c r="E6" s="5" t="s">
        <v>71</v>
      </c>
      <c r="H6" s="5" t="s">
        <v>76</v>
      </c>
      <c r="I6" s="4">
        <v>0.66800000000000004</v>
      </c>
      <c r="J6" s="3" t="s">
        <v>80</v>
      </c>
      <c r="K6" s="5" t="s">
        <v>76</v>
      </c>
      <c r="L6" s="4">
        <v>0.66849999999999998</v>
      </c>
      <c r="M6" s="3" t="s">
        <v>80</v>
      </c>
      <c r="N6" s="6"/>
      <c r="P6">
        <v>42.202185999999998</v>
      </c>
      <c r="Q6">
        <v>-3.431905</v>
      </c>
      <c r="R6">
        <v>9.5690000000000008</v>
      </c>
      <c r="S6">
        <v>0.08</v>
      </c>
      <c r="T6" s="10">
        <v>-0.14382204086566791</v>
      </c>
      <c r="U6" s="10">
        <v>-0.14130000000000001</v>
      </c>
      <c r="V6" s="10">
        <v>-6.4000000000000003E-3</v>
      </c>
      <c r="W6" s="10">
        <v>1.3100000000000001E-2</v>
      </c>
      <c r="X6" s="10">
        <v>0.1003205829423419</v>
      </c>
      <c r="Y6" s="10">
        <v>0.10879999999999999</v>
      </c>
      <c r="Z6" s="10">
        <v>-3.6499999999999998E-2</v>
      </c>
      <c r="AA6" s="10">
        <v>2.8199999999999999E-2</v>
      </c>
      <c r="AB6" s="10">
        <v>2.220302538124717</v>
      </c>
      <c r="AC6" s="10">
        <v>2.2206999999999999</v>
      </c>
      <c r="AD6" s="10">
        <v>-3.8600000000000002E-2</v>
      </c>
      <c r="AE6" s="10">
        <v>3.49E-2</v>
      </c>
      <c r="AF6" s="10">
        <v>115.2686880275849</v>
      </c>
      <c r="AG6" s="10">
        <v>116.6224</v>
      </c>
      <c r="AH6" s="10">
        <v>-10.081200000000001</v>
      </c>
      <c r="AI6" s="10">
        <v>11.553100000000001</v>
      </c>
      <c r="AJ6" s="10">
        <v>0.6612462913183158</v>
      </c>
      <c r="AK6" s="10">
        <v>0.64910000000000001</v>
      </c>
      <c r="AL6" s="10">
        <v>-3.73E-2</v>
      </c>
      <c r="AM6" s="10">
        <v>5.3699999999999998E-2</v>
      </c>
      <c r="AN6" s="10">
        <v>0.41154324178435131</v>
      </c>
      <c r="AO6" s="10">
        <v>0.41110000000000002</v>
      </c>
      <c r="AP6" s="10">
        <v>-1.46E-2</v>
      </c>
      <c r="AQ6" s="10">
        <v>1.3100000000000001E-2</v>
      </c>
      <c r="AR6" s="10">
        <v>4.5189021468572319</v>
      </c>
      <c r="AS6" s="10">
        <v>4.5155000000000003</v>
      </c>
      <c r="AT6" s="10">
        <v>-4.0000000000000001E-3</v>
      </c>
      <c r="AU6" s="10">
        <v>4.0000000000000001E-3</v>
      </c>
      <c r="AV6" s="10">
        <v>0.21470804167338131</v>
      </c>
      <c r="AW6" s="10">
        <v>0.21579999999999999</v>
      </c>
      <c r="AX6" s="10">
        <v>-1.1900000000000001E-2</v>
      </c>
      <c r="AY6" s="10">
        <v>1.14E-2</v>
      </c>
      <c r="AZ6" s="10">
        <v>9.2824953983009273E-2</v>
      </c>
      <c r="BA6" s="10">
        <v>9.5299999999999996E-2</v>
      </c>
      <c r="BB6" s="10">
        <v>-1.0500000000000001E-2</v>
      </c>
      <c r="BC6" s="10">
        <v>1.1599999999999999E-2</v>
      </c>
      <c r="BD6" s="10">
        <v>6.0873378498167027E-2</v>
      </c>
      <c r="BE6" s="10">
        <v>7.1300000000000002E-2</v>
      </c>
      <c r="BF6" s="10">
        <v>-3.7900000000000003E-2</v>
      </c>
      <c r="BG6" s="10">
        <v>4.5600000000000002E-2</v>
      </c>
      <c r="BH6" s="13">
        <v>951.9935302734375</v>
      </c>
      <c r="BI6" s="11">
        <v>2.2399847771139711</v>
      </c>
      <c r="BJ6" s="13">
        <v>2909.0777731721791</v>
      </c>
      <c r="BK6" s="11">
        <v>0.8302162594669461</v>
      </c>
      <c r="BL6" s="13">
        <v>3861.0713034456162</v>
      </c>
      <c r="BM6" s="11">
        <v>1.535100518290458</v>
      </c>
    </row>
    <row r="7" spans="1:65" ht="27" customHeight="1">
      <c r="A7" s="4">
        <v>5</v>
      </c>
      <c r="B7" s="7">
        <f t="shared" si="0"/>
        <v>0.84616666666666662</v>
      </c>
      <c r="C7" s="8">
        <v>3</v>
      </c>
      <c r="D7" s="8" t="s">
        <v>74</v>
      </c>
      <c r="E7" s="5" t="s">
        <v>76</v>
      </c>
      <c r="F7" s="4">
        <v>0.84650000000000003</v>
      </c>
      <c r="G7" s="3" t="s">
        <v>80</v>
      </c>
      <c r="H7" s="5" t="s">
        <v>74</v>
      </c>
      <c r="I7" s="4">
        <v>0.84599999999999997</v>
      </c>
      <c r="J7" s="3" t="s">
        <v>81</v>
      </c>
      <c r="K7" s="5" t="s">
        <v>74</v>
      </c>
      <c r="L7" s="4">
        <v>0.84599999999999997</v>
      </c>
      <c r="M7" s="3" t="s">
        <v>80</v>
      </c>
      <c r="N7" s="6"/>
      <c r="O7" s="3" t="s">
        <v>82</v>
      </c>
      <c r="P7">
        <v>42.199227999999998</v>
      </c>
      <c r="Q7">
        <v>-3.4354825999999998</v>
      </c>
      <c r="R7">
        <v>9.9510000000000005</v>
      </c>
      <c r="S7">
        <v>5.1999999999999998E-2</v>
      </c>
      <c r="T7" s="10">
        <v>-0.14865268891256861</v>
      </c>
      <c r="U7" s="10">
        <v>-0.14729999999999999</v>
      </c>
      <c r="V7" s="10">
        <v>-2E-3</v>
      </c>
      <c r="W7" s="10">
        <v>4.3E-3</v>
      </c>
      <c r="X7" s="10">
        <v>-0.1471962113948185</v>
      </c>
      <c r="Y7" s="10">
        <v>-0.1411</v>
      </c>
      <c r="Z7" s="10">
        <v>-6.4999999999999997E-3</v>
      </c>
      <c r="AA7" s="10">
        <v>1.2500000000000001E-2</v>
      </c>
      <c r="AB7" s="10">
        <v>-2.248890564122993</v>
      </c>
      <c r="AC7" s="10">
        <v>-2.2509999999999999</v>
      </c>
      <c r="AD7" s="10">
        <v>-3.0800000000000001E-2</v>
      </c>
      <c r="AE7" s="10">
        <v>3.0300000000000001E-2</v>
      </c>
      <c r="AF7" s="10">
        <v>196.6981358711005</v>
      </c>
      <c r="AG7" s="10">
        <v>155.9726</v>
      </c>
      <c r="AH7" s="10">
        <v>-16.098800000000001</v>
      </c>
      <c r="AI7" s="10">
        <v>18.0382</v>
      </c>
      <c r="AJ7" s="10">
        <v>0.74982414972110079</v>
      </c>
      <c r="AK7" s="10">
        <v>0.76439999999999997</v>
      </c>
      <c r="AL7" s="10">
        <v>-1.66E-2</v>
      </c>
      <c r="AM7" s="10">
        <v>2.1299999999999999E-2</v>
      </c>
      <c r="AN7" s="10">
        <v>0.50822454371870918</v>
      </c>
      <c r="AO7" s="10">
        <v>0.50170000000000003</v>
      </c>
      <c r="AP7" s="10">
        <v>-7.7999999999999996E-3</v>
      </c>
      <c r="AQ7" s="10">
        <v>7.0000000000000001E-3</v>
      </c>
      <c r="AR7" s="10">
        <v>4.7837963711842191</v>
      </c>
      <c r="AS7" s="10">
        <v>4.7824</v>
      </c>
      <c r="AT7" s="10">
        <v>-3.0000000000000001E-3</v>
      </c>
      <c r="AU7" s="10">
        <v>3.0000000000000001E-3</v>
      </c>
      <c r="AV7" s="10">
        <v>-0.28042261886172293</v>
      </c>
      <c r="AW7" s="10">
        <v>-0.28149999999999997</v>
      </c>
      <c r="AX7" s="10">
        <v>-1.0699999999999999E-2</v>
      </c>
      <c r="AY7" s="10">
        <v>1.09E-2</v>
      </c>
      <c r="AZ7" s="10">
        <v>0.2143263335630641</v>
      </c>
      <c r="BA7" s="10">
        <v>0.22059999999999999</v>
      </c>
      <c r="BB7" s="10">
        <v>-1.09E-2</v>
      </c>
      <c r="BC7" s="10">
        <v>1.14E-2</v>
      </c>
      <c r="BD7" s="10">
        <v>1.422207700501571</v>
      </c>
      <c r="BE7" s="10">
        <v>1.0006999999999999</v>
      </c>
      <c r="BF7" s="10">
        <v>-0.16170000000000001</v>
      </c>
      <c r="BG7" s="10">
        <v>0.1867</v>
      </c>
      <c r="BH7" s="13">
        <v>851.4739990234375</v>
      </c>
      <c r="BI7" s="11">
        <v>2.0034682329963229</v>
      </c>
      <c r="BJ7" s="13">
        <v>4563.490050091882</v>
      </c>
      <c r="BK7" s="11">
        <v>1.302365881875537</v>
      </c>
      <c r="BL7" s="13">
        <v>5414.9640491153204</v>
      </c>
      <c r="BM7" s="11">
        <v>1.65291705743593</v>
      </c>
    </row>
    <row r="8" spans="1:65" ht="27" customHeight="1">
      <c r="A8" s="4">
        <v>6</v>
      </c>
      <c r="B8" s="7" t="str">
        <f t="shared" si="0"/>
        <v/>
      </c>
      <c r="C8" s="8"/>
      <c r="D8" s="8" t="s">
        <v>83</v>
      </c>
      <c r="E8" s="5" t="s">
        <v>84</v>
      </c>
      <c r="H8" s="5" t="s">
        <v>84</v>
      </c>
      <c r="I8" s="4"/>
      <c r="K8" s="5" t="s">
        <v>84</v>
      </c>
      <c r="N8" s="6"/>
      <c r="P8">
        <v>42.176060999999997</v>
      </c>
      <c r="Q8">
        <v>-3.4287201</v>
      </c>
    </row>
    <row r="9" spans="1:65" ht="27" customHeight="1">
      <c r="A9" s="4">
        <v>7</v>
      </c>
      <c r="B9" s="7">
        <f t="shared" si="0"/>
        <v>0.41083333333333333</v>
      </c>
      <c r="C9" s="8">
        <v>3</v>
      </c>
      <c r="D9" s="8" t="s">
        <v>74</v>
      </c>
      <c r="E9" s="5" t="s">
        <v>74</v>
      </c>
      <c r="F9" s="4">
        <v>0.41099999999999998</v>
      </c>
      <c r="G9" s="3" t="s">
        <v>85</v>
      </c>
      <c r="H9" s="5" t="s">
        <v>74</v>
      </c>
      <c r="I9" s="4">
        <v>0.41099999999999998</v>
      </c>
      <c r="J9" s="3" t="s">
        <v>85</v>
      </c>
      <c r="K9" s="5" t="s">
        <v>74</v>
      </c>
      <c r="L9" s="4">
        <v>0.41049999999999998</v>
      </c>
      <c r="M9" s="3" t="s">
        <v>85</v>
      </c>
      <c r="N9" s="6"/>
      <c r="P9">
        <v>42.182724</v>
      </c>
      <c r="Q9">
        <v>-3.4347805</v>
      </c>
      <c r="R9">
        <v>10.212</v>
      </c>
      <c r="S9">
        <v>2.8000000000000001E-2</v>
      </c>
      <c r="T9" s="10">
        <v>-0.1499952412611136</v>
      </c>
      <c r="U9" s="10">
        <v>-0.14910000000000001</v>
      </c>
      <c r="V9" s="10">
        <v>-6.9999999999999999E-4</v>
      </c>
      <c r="W9" s="10">
        <v>1.4E-3</v>
      </c>
      <c r="X9" s="10">
        <v>0.14945651869566839</v>
      </c>
      <c r="Y9" s="10">
        <v>0.14949999999999999</v>
      </c>
      <c r="Z9" s="10">
        <v>-8.0000000000000004E-4</v>
      </c>
      <c r="AA9" s="10">
        <v>4.0000000000000002E-4</v>
      </c>
      <c r="AB9" s="10">
        <v>-5.7428885805204111E-2</v>
      </c>
      <c r="AC9" s="10">
        <v>-6.0699999999999997E-2</v>
      </c>
      <c r="AD9" s="10">
        <v>-7.7999999999999996E-3</v>
      </c>
      <c r="AE9" s="10">
        <v>7.7999999999999996E-3</v>
      </c>
      <c r="AF9" s="10">
        <v>243.29009371878519</v>
      </c>
      <c r="AG9" s="10">
        <v>218.3049</v>
      </c>
      <c r="AH9" s="10">
        <v>-8.9911999999999992</v>
      </c>
      <c r="AI9" s="10">
        <v>7.3319999999999999</v>
      </c>
      <c r="AJ9" s="10">
        <v>0.96644511406565803</v>
      </c>
      <c r="AK9" s="10">
        <v>0.95830000000000004</v>
      </c>
      <c r="AL9" s="10">
        <v>-3.8E-3</v>
      </c>
      <c r="AM9" s="10">
        <v>2.8E-3</v>
      </c>
      <c r="AN9" s="10">
        <v>0.26005560274198281</v>
      </c>
      <c r="AO9" s="10">
        <v>0.2586</v>
      </c>
      <c r="AP9" s="10">
        <v>-2.7000000000000001E-3</v>
      </c>
      <c r="AQ9" s="10">
        <v>2.8999999999999998E-3</v>
      </c>
      <c r="AR9" s="10">
        <v>4.9999941135182064</v>
      </c>
      <c r="AS9" s="10">
        <v>5</v>
      </c>
      <c r="AT9" s="10">
        <v>0</v>
      </c>
      <c r="AU9" s="10">
        <v>0</v>
      </c>
      <c r="AV9" s="10">
        <v>-0.99946490001160471</v>
      </c>
      <c r="AW9" s="10">
        <v>-0.99819999999999998</v>
      </c>
      <c r="AX9" s="10">
        <v>-1.2999999999999999E-3</v>
      </c>
      <c r="AY9" s="10">
        <v>2.8999999999999998E-3</v>
      </c>
      <c r="AZ9" s="10">
        <v>-0.72666077465673529</v>
      </c>
      <c r="BA9" s="10">
        <v>-0.72509999999999997</v>
      </c>
      <c r="BB9" s="10">
        <v>-1.7600000000000001E-2</v>
      </c>
      <c r="BC9" s="10">
        <v>1.77E-2</v>
      </c>
      <c r="BD9" s="10">
        <v>1.0096096290149679E-2</v>
      </c>
      <c r="BE9" s="10">
        <v>1.0200000000000001E-2</v>
      </c>
      <c r="BF9" s="10">
        <v>-1E-4</v>
      </c>
      <c r="BG9" s="10">
        <v>2.9999999999999997E-4</v>
      </c>
      <c r="BH9" s="13">
        <v>27551.65234375</v>
      </c>
      <c r="BI9" s="11">
        <v>65.443354735748215</v>
      </c>
      <c r="BJ9" s="13">
        <v>69018.433134174527</v>
      </c>
      <c r="BK9" s="11">
        <v>13.22192205635527</v>
      </c>
      <c r="BL9" s="13">
        <v>96570.085477924527</v>
      </c>
      <c r="BM9" s="11">
        <v>39.332638396051742</v>
      </c>
    </row>
    <row r="10" spans="1:65" ht="27" customHeight="1">
      <c r="A10" s="4">
        <v>8</v>
      </c>
      <c r="B10" s="7">
        <f t="shared" si="0"/>
        <v>0.49183333333333334</v>
      </c>
      <c r="C10" s="8">
        <v>3</v>
      </c>
      <c r="D10" s="8" t="s">
        <v>74</v>
      </c>
      <c r="E10" s="5" t="s">
        <v>74</v>
      </c>
      <c r="F10" s="4">
        <v>0.49149999999999999</v>
      </c>
      <c r="G10" s="3" t="s">
        <v>75</v>
      </c>
      <c r="H10" s="5" t="s">
        <v>74</v>
      </c>
      <c r="I10" s="4">
        <v>0.49199999999999999</v>
      </c>
      <c r="J10" s="3" t="s">
        <v>75</v>
      </c>
      <c r="K10" s="5" t="s">
        <v>74</v>
      </c>
      <c r="L10" s="4">
        <v>0.49199999999999999</v>
      </c>
      <c r="M10" s="3" t="s">
        <v>75</v>
      </c>
      <c r="N10" s="6"/>
      <c r="P10">
        <v>42.213529999999999</v>
      </c>
      <c r="Q10">
        <v>-3.4520444000000001</v>
      </c>
      <c r="R10">
        <v>9.9860000000000007</v>
      </c>
      <c r="S10">
        <v>4.2000000000000003E-2</v>
      </c>
      <c r="T10" s="10">
        <v>4.1635262590776552E-2</v>
      </c>
      <c r="U10" s="10">
        <v>3.8699999999999998E-2</v>
      </c>
      <c r="V10" s="10">
        <v>-7.7000000000000002E-3</v>
      </c>
      <c r="W10" s="10">
        <v>7.7000000000000002E-3</v>
      </c>
      <c r="X10" s="10">
        <v>0.1474001425343833</v>
      </c>
      <c r="Y10" s="10">
        <v>0.14799999999999999</v>
      </c>
      <c r="Z10" s="10">
        <v>-3.0000000000000001E-3</v>
      </c>
      <c r="AA10" s="10">
        <v>1.4E-3</v>
      </c>
      <c r="AB10" s="10">
        <v>-0.45605623315541699</v>
      </c>
      <c r="AC10" s="10">
        <v>-0.45879999999999999</v>
      </c>
      <c r="AD10" s="10">
        <v>-2.3900000000000001E-2</v>
      </c>
      <c r="AE10" s="10">
        <v>2.3699999999999999E-2</v>
      </c>
      <c r="AF10" s="10">
        <v>185.95343805380219</v>
      </c>
      <c r="AG10" s="10">
        <v>169.13329999999999</v>
      </c>
      <c r="AH10" s="10">
        <v>-12.6808</v>
      </c>
      <c r="AI10" s="10">
        <v>11.1015</v>
      </c>
      <c r="AJ10" s="10">
        <v>0.95047771153975724</v>
      </c>
      <c r="AK10" s="10">
        <v>0.93989999999999996</v>
      </c>
      <c r="AL10" s="10">
        <v>-1.0200000000000001E-2</v>
      </c>
      <c r="AM10" s="10">
        <v>7.4999999999999997E-3</v>
      </c>
      <c r="AN10" s="10">
        <v>0.29411004060783519</v>
      </c>
      <c r="AO10" s="10">
        <v>0.29609999999999997</v>
      </c>
      <c r="AP10" s="10">
        <v>-2.5000000000000001E-3</v>
      </c>
      <c r="AQ10" s="10">
        <v>2.5000000000000001E-3</v>
      </c>
      <c r="AR10" s="10">
        <v>4.9999896476969568</v>
      </c>
      <c r="AS10" s="10">
        <v>5</v>
      </c>
      <c r="AT10" s="10">
        <v>0</v>
      </c>
      <c r="AU10" s="10">
        <v>0</v>
      </c>
      <c r="AV10" s="10">
        <v>-0.43746114718359991</v>
      </c>
      <c r="AW10" s="10">
        <v>-0.43969999999999998</v>
      </c>
      <c r="AX10" s="10">
        <v>-1.04E-2</v>
      </c>
      <c r="AY10" s="10">
        <v>1.03E-2</v>
      </c>
      <c r="AZ10" s="10">
        <v>-0.24497898824561901</v>
      </c>
      <c r="BA10" s="10">
        <v>-0.2437</v>
      </c>
      <c r="BB10" s="10">
        <v>-1.32E-2</v>
      </c>
      <c r="BC10" s="10">
        <v>1.3299999999999999E-2</v>
      </c>
      <c r="BD10" s="10">
        <v>1.0290875614023731E-2</v>
      </c>
      <c r="BE10" s="10">
        <v>1.0699999999999999E-2</v>
      </c>
      <c r="BF10" s="10">
        <v>-5.0000000000000001E-4</v>
      </c>
      <c r="BG10" s="10">
        <v>1.1999999999999999E-3</v>
      </c>
      <c r="BH10" s="13">
        <v>20522.44921875</v>
      </c>
      <c r="BI10" s="11">
        <v>48.746910258313541</v>
      </c>
      <c r="BJ10" s="13">
        <v>13046.162249932609</v>
      </c>
      <c r="BK10" s="11">
        <v>5.177048511878021</v>
      </c>
      <c r="BL10" s="13">
        <v>33568.611468682611</v>
      </c>
      <c r="BM10" s="11">
        <v>26.961979385095781</v>
      </c>
    </row>
    <row r="11" spans="1:65" ht="27" customHeight="1">
      <c r="A11" s="4">
        <v>9</v>
      </c>
      <c r="B11" s="7" t="str">
        <f t="shared" si="0"/>
        <v/>
      </c>
      <c r="C11" s="8"/>
      <c r="D11" s="8" t="s">
        <v>72</v>
      </c>
      <c r="E11" s="5" t="s">
        <v>73</v>
      </c>
      <c r="H11" s="5" t="s">
        <v>73</v>
      </c>
      <c r="I11" s="4"/>
      <c r="K11" s="5" t="s">
        <v>73</v>
      </c>
      <c r="N11" s="6"/>
      <c r="P11">
        <v>42.177914999999999</v>
      </c>
      <c r="Q11">
        <v>-3.4385781999999998</v>
      </c>
    </row>
    <row r="12" spans="1:65" ht="27" customHeight="1">
      <c r="A12" s="4">
        <v>10</v>
      </c>
      <c r="B12" s="7">
        <f t="shared" si="0"/>
        <v>0.6691666666666668</v>
      </c>
      <c r="C12" s="8">
        <v>3</v>
      </c>
      <c r="D12" s="8" t="s">
        <v>74</v>
      </c>
      <c r="E12" s="5" t="s">
        <v>76</v>
      </c>
      <c r="F12" s="4">
        <v>0.66849999999999998</v>
      </c>
      <c r="G12" s="3" t="s">
        <v>75</v>
      </c>
      <c r="H12" s="5" t="s">
        <v>74</v>
      </c>
      <c r="I12" s="4">
        <v>0.66900000000000004</v>
      </c>
      <c r="J12" s="3" t="s">
        <v>75</v>
      </c>
      <c r="K12" s="5" t="s">
        <v>74</v>
      </c>
      <c r="L12" s="4">
        <v>0.67</v>
      </c>
      <c r="M12" s="3" t="s">
        <v>75</v>
      </c>
      <c r="N12" s="6"/>
      <c r="O12" s="3" t="s">
        <v>86</v>
      </c>
      <c r="P12">
        <v>42.216147999999997</v>
      </c>
      <c r="Q12">
        <v>-3.461236</v>
      </c>
      <c r="R12">
        <v>9.5150000000000006</v>
      </c>
      <c r="S12">
        <v>6.6000000000000003E-2</v>
      </c>
      <c r="T12" s="10">
        <v>0.12620519339485531</v>
      </c>
      <c r="U12" s="10">
        <v>8.8700000000000001E-2</v>
      </c>
      <c r="V12" s="10">
        <v>-5.2400000000000002E-2</v>
      </c>
      <c r="W12" s="10">
        <v>4.0399999999999998E-2</v>
      </c>
      <c r="X12" s="10">
        <v>0.13972401748838689</v>
      </c>
      <c r="Y12" s="10">
        <v>0.11650000000000001</v>
      </c>
      <c r="Z12" s="10">
        <v>-4.5199999999999997E-2</v>
      </c>
      <c r="AA12" s="10">
        <v>2.3900000000000001E-2</v>
      </c>
      <c r="AB12" s="10">
        <v>-1.1601711470362579</v>
      </c>
      <c r="AC12" s="10">
        <v>-1.1516</v>
      </c>
      <c r="AD12" s="10">
        <v>-2.75E-2</v>
      </c>
      <c r="AE12" s="10">
        <v>3.2899999999999999E-2</v>
      </c>
      <c r="AF12" s="10">
        <v>130.25705723129491</v>
      </c>
      <c r="AG12" s="10">
        <v>125.98099999999999</v>
      </c>
      <c r="AH12" s="10">
        <v>-4.9295999999999998</v>
      </c>
      <c r="AI12" s="10">
        <v>5.2464000000000004</v>
      </c>
      <c r="AJ12" s="10">
        <v>0.27311691153519613</v>
      </c>
      <c r="AK12" s="10">
        <v>0.30430000000000001</v>
      </c>
      <c r="AL12" s="10">
        <v>-2.5100000000000001E-2</v>
      </c>
      <c r="AM12" s="10">
        <v>4.5600000000000002E-2</v>
      </c>
      <c r="AN12" s="10">
        <v>0.80694283634561659</v>
      </c>
      <c r="AO12" s="10">
        <v>0.77070000000000005</v>
      </c>
      <c r="AP12" s="10">
        <v>-4.4900000000000002E-2</v>
      </c>
      <c r="AQ12" s="10">
        <v>2.8500000000000001E-2</v>
      </c>
      <c r="AR12" s="10">
        <v>4.5968355676393031</v>
      </c>
      <c r="AS12" s="10">
        <v>4.5938999999999997</v>
      </c>
      <c r="AT12" s="10">
        <v>-3.8999999999999998E-3</v>
      </c>
      <c r="AU12" s="10">
        <v>3.8E-3</v>
      </c>
      <c r="AV12" s="10">
        <v>-0.1523707054464607</v>
      </c>
      <c r="AW12" s="10">
        <v>-0.153</v>
      </c>
      <c r="AX12" s="10">
        <v>-8.8000000000000005E-3</v>
      </c>
      <c r="AY12" s="10">
        <v>9.1999999999999998E-3</v>
      </c>
      <c r="AZ12" s="10">
        <v>3.684877329603653E-2</v>
      </c>
      <c r="BA12" s="10">
        <v>3.9300000000000002E-2</v>
      </c>
      <c r="BB12" s="10">
        <v>-4.7000000000000002E-3</v>
      </c>
      <c r="BC12" s="10">
        <v>6.1000000000000004E-3</v>
      </c>
      <c r="BD12" s="10">
        <v>5.0908437923477427E-2</v>
      </c>
      <c r="BE12" s="10">
        <v>3.9E-2</v>
      </c>
      <c r="BF12" s="10">
        <v>-1.95E-2</v>
      </c>
      <c r="BG12" s="10">
        <v>2.7400000000000001E-2</v>
      </c>
      <c r="BH12" s="13">
        <v>1010.803955078125</v>
      </c>
      <c r="BI12" s="11">
        <v>2.3783622472426469</v>
      </c>
      <c r="BJ12" s="13">
        <v>5592.2035070054044</v>
      </c>
      <c r="BK12" s="11">
        <v>1.595948489442182</v>
      </c>
      <c r="BL12" s="13">
        <v>6603.0074620835294</v>
      </c>
      <c r="BM12" s="11">
        <v>1.9871553683424139</v>
      </c>
    </row>
    <row r="13" spans="1:65" ht="27" customHeight="1">
      <c r="A13" s="4">
        <v>11</v>
      </c>
      <c r="B13" s="7" t="str">
        <f t="shared" si="0"/>
        <v/>
      </c>
      <c r="C13" s="8"/>
      <c r="D13" s="8" t="s">
        <v>72</v>
      </c>
      <c r="E13" s="5" t="s">
        <v>73</v>
      </c>
      <c r="H13" s="5" t="s">
        <v>73</v>
      </c>
      <c r="I13" s="4"/>
      <c r="K13" s="5" t="s">
        <v>73</v>
      </c>
      <c r="N13" s="6"/>
      <c r="P13">
        <v>42.215615999999997</v>
      </c>
      <c r="Q13">
        <v>-3.4642510999999998</v>
      </c>
    </row>
    <row r="14" spans="1:65" ht="27" customHeight="1">
      <c r="A14" s="4">
        <v>12</v>
      </c>
      <c r="B14" s="7">
        <f t="shared" si="0"/>
        <v>0.47899999999999998</v>
      </c>
      <c r="C14" s="8">
        <v>3</v>
      </c>
      <c r="D14" s="8" t="s">
        <v>87</v>
      </c>
      <c r="E14" s="5" t="s">
        <v>71</v>
      </c>
      <c r="H14" s="5" t="s">
        <v>76</v>
      </c>
      <c r="I14" s="4">
        <v>0.47899999999999998</v>
      </c>
      <c r="J14" s="3" t="s">
        <v>75</v>
      </c>
      <c r="K14" s="5" t="s">
        <v>71</v>
      </c>
      <c r="N14" s="6"/>
      <c r="O14" s="3" t="s">
        <v>75</v>
      </c>
      <c r="P14">
        <v>42.170616000000003</v>
      </c>
      <c r="Q14">
        <v>-3.4479308</v>
      </c>
    </row>
    <row r="15" spans="1:65" ht="27" customHeight="1">
      <c r="A15" s="4">
        <v>13</v>
      </c>
      <c r="B15" s="7">
        <f t="shared" si="0"/>
        <v>0.84599999999999997</v>
      </c>
      <c r="C15" s="8">
        <v>3</v>
      </c>
      <c r="D15" s="8" t="s">
        <v>87</v>
      </c>
      <c r="E15" s="5" t="s">
        <v>73</v>
      </c>
      <c r="H15" s="5" t="s">
        <v>76</v>
      </c>
      <c r="I15" s="4">
        <v>0.84599999999999997</v>
      </c>
      <c r="J15" s="3" t="s">
        <v>77</v>
      </c>
      <c r="K15" s="5" t="s">
        <v>84</v>
      </c>
      <c r="N15" s="6" t="s">
        <v>88</v>
      </c>
      <c r="O15" s="3" t="s">
        <v>86</v>
      </c>
      <c r="P15">
        <v>42.139709000000003</v>
      </c>
      <c r="Q15">
        <v>-3.4376063000000001</v>
      </c>
      <c r="R15">
        <v>9.5210000000000008</v>
      </c>
      <c r="S15">
        <v>7.2999999999999995E-2</v>
      </c>
      <c r="T15" s="10">
        <v>-0.12923011050319749</v>
      </c>
      <c r="U15" s="10">
        <v>-0.1244</v>
      </c>
      <c r="V15" s="10">
        <v>-1.7999999999999999E-2</v>
      </c>
      <c r="W15" s="10">
        <v>2.7300000000000001E-2</v>
      </c>
      <c r="X15" s="10">
        <v>0.1183802558001808</v>
      </c>
      <c r="Y15" s="10">
        <v>6.3600000000000004E-2</v>
      </c>
      <c r="Z15" s="10">
        <v>-4.9000000000000002E-2</v>
      </c>
      <c r="AA15" s="10">
        <v>3.9E-2</v>
      </c>
      <c r="AB15" s="10">
        <v>-0.234380652424103</v>
      </c>
      <c r="AC15" s="10">
        <v>0.15579999999999999</v>
      </c>
      <c r="AD15" s="10">
        <v>-0.58250000000000002</v>
      </c>
      <c r="AE15" s="10">
        <v>0.5232</v>
      </c>
      <c r="AF15" s="10">
        <v>197.64824766048679</v>
      </c>
      <c r="AG15" s="10">
        <v>108.4931</v>
      </c>
      <c r="AH15" s="10">
        <v>-14.0877</v>
      </c>
      <c r="AI15" s="10">
        <v>15.777200000000001</v>
      </c>
      <c r="AJ15" s="10">
        <v>0.88523658500200608</v>
      </c>
      <c r="AK15" s="10">
        <v>0.90410000000000001</v>
      </c>
      <c r="AL15" s="10">
        <v>-5.6599999999999998E-2</v>
      </c>
      <c r="AM15" s="10">
        <v>5.6000000000000001E-2</v>
      </c>
      <c r="AN15" s="10">
        <v>0.70616197589166996</v>
      </c>
      <c r="AO15" s="10">
        <v>0.71079999999999999</v>
      </c>
      <c r="AP15" s="10">
        <v>-2.75E-2</v>
      </c>
      <c r="AQ15" s="10">
        <v>2.8500000000000001E-2</v>
      </c>
      <c r="AR15" s="10">
        <v>4.6950760502259783</v>
      </c>
      <c r="AS15" s="10">
        <v>4.6974999999999998</v>
      </c>
      <c r="AT15" s="10">
        <v>-1.09E-2</v>
      </c>
      <c r="AU15" s="10">
        <v>1.14E-2</v>
      </c>
      <c r="AV15" s="10">
        <v>-0.29212525803489742</v>
      </c>
      <c r="AW15" s="10">
        <v>-0.1593</v>
      </c>
      <c r="AX15" s="10">
        <v>-0.13780000000000001</v>
      </c>
      <c r="AY15" s="10">
        <v>0.16600000000000001</v>
      </c>
      <c r="AZ15" s="10">
        <v>-0.19710203956686281</v>
      </c>
      <c r="BA15" s="10">
        <v>-0.26019999999999999</v>
      </c>
      <c r="BB15" s="10">
        <v>-4.1599999999999998E-2</v>
      </c>
      <c r="BC15" s="10">
        <v>0.12670000000000001</v>
      </c>
      <c r="BD15" s="10">
        <v>5.5699370337686002E-2</v>
      </c>
      <c r="BE15" s="10">
        <v>0.62019999999999997</v>
      </c>
      <c r="BF15" s="10">
        <v>-0.47139999999999999</v>
      </c>
      <c r="BG15" s="10">
        <v>0.77910000000000001</v>
      </c>
      <c r="BH15" s="13">
        <v>219.96502685546881</v>
      </c>
      <c r="BI15" s="11">
        <v>0.51273899033908799</v>
      </c>
      <c r="BJ15" s="13">
        <v>3144.0858570704982</v>
      </c>
      <c r="BK15" s="11">
        <v>1.8330214951142241</v>
      </c>
      <c r="BL15" s="13">
        <v>3364.050883925966</v>
      </c>
      <c r="BM15" s="11">
        <v>1.172880242726656</v>
      </c>
    </row>
    <row r="16" spans="1:65" ht="27" customHeight="1">
      <c r="A16" s="4">
        <v>14</v>
      </c>
      <c r="B16" s="7">
        <f t="shared" si="0"/>
        <v>0.58366666666666667</v>
      </c>
      <c r="C16" s="8">
        <v>3</v>
      </c>
      <c r="D16" s="8" t="s">
        <v>79</v>
      </c>
      <c r="E16" s="5" t="s">
        <v>76</v>
      </c>
      <c r="F16" s="4">
        <v>0.58399999999999996</v>
      </c>
      <c r="G16" s="3" t="s">
        <v>89</v>
      </c>
      <c r="H16" s="5" t="s">
        <v>76</v>
      </c>
      <c r="I16" s="4">
        <v>0.58299999999999996</v>
      </c>
      <c r="J16" s="3" t="s">
        <v>75</v>
      </c>
      <c r="K16" s="5" t="s">
        <v>76</v>
      </c>
      <c r="L16" s="4">
        <v>0.58399999999999996</v>
      </c>
      <c r="M16" s="3" t="s">
        <v>80</v>
      </c>
      <c r="N16" s="6"/>
      <c r="O16" s="3" t="s">
        <v>86</v>
      </c>
      <c r="P16">
        <v>42.179380000000002</v>
      </c>
      <c r="Q16">
        <v>-3.4590941000000002</v>
      </c>
      <c r="R16">
        <v>9.3230000000000004</v>
      </c>
      <c r="S16">
        <v>9.0999999999999998E-2</v>
      </c>
      <c r="T16" s="10">
        <v>0.14800132945188521</v>
      </c>
      <c r="U16" s="10">
        <v>0.1331</v>
      </c>
      <c r="V16" s="10">
        <v>-1.9099999999999999E-2</v>
      </c>
      <c r="W16" s="10">
        <v>1.1900000000000001E-2</v>
      </c>
      <c r="X16" s="10">
        <v>8.9053057724933327E-2</v>
      </c>
      <c r="Y16" s="10">
        <v>9.3299999999999994E-2</v>
      </c>
      <c r="Z16" s="10">
        <v>-2.1999999999999999E-2</v>
      </c>
      <c r="AA16" s="10">
        <v>2.18E-2</v>
      </c>
      <c r="AB16" s="10">
        <v>1.587688804275315</v>
      </c>
      <c r="AC16" s="10">
        <v>1.6544000000000001</v>
      </c>
      <c r="AD16" s="10">
        <v>-0.13789999999999999</v>
      </c>
      <c r="AE16" s="10">
        <v>0.1246</v>
      </c>
      <c r="AF16" s="10">
        <v>137.8170347589288</v>
      </c>
      <c r="AG16" s="10">
        <v>105.95269999999999</v>
      </c>
      <c r="AH16" s="10">
        <v>-13.127599999999999</v>
      </c>
      <c r="AI16" s="10">
        <v>14.9529</v>
      </c>
      <c r="AJ16" s="10">
        <v>0.85157464000864269</v>
      </c>
      <c r="AK16" s="10">
        <v>0.8569</v>
      </c>
      <c r="AL16" s="10">
        <v>-2.9399999999999999E-2</v>
      </c>
      <c r="AM16" s="10">
        <v>3.3700000000000001E-2</v>
      </c>
      <c r="AN16" s="10">
        <v>0.7069598973178659</v>
      </c>
      <c r="AO16" s="10">
        <v>0.69320000000000004</v>
      </c>
      <c r="AP16" s="10">
        <v>-1.6E-2</v>
      </c>
      <c r="AQ16" s="10">
        <v>1.6400000000000001E-2</v>
      </c>
      <c r="AR16" s="10">
        <v>4.5727536463350713</v>
      </c>
      <c r="AS16" s="10">
        <v>4.5696000000000003</v>
      </c>
      <c r="AT16" s="10">
        <v>-6.1000000000000004E-3</v>
      </c>
      <c r="AU16" s="10">
        <v>6.0000000000000001E-3</v>
      </c>
      <c r="AV16" s="10">
        <v>1.174417321316068E-2</v>
      </c>
      <c r="AW16" s="10">
        <v>-1.2999999999999999E-3</v>
      </c>
      <c r="AX16" s="10">
        <v>-1.3899999999999999E-2</v>
      </c>
      <c r="AY16" s="10">
        <v>1.44E-2</v>
      </c>
      <c r="AZ16" s="10">
        <v>5.338717049583841E-2</v>
      </c>
      <c r="BA16" s="10">
        <v>5.2400000000000002E-2</v>
      </c>
      <c r="BB16" s="10">
        <v>-9.4999999999999998E-3</v>
      </c>
      <c r="BC16" s="10">
        <v>9.5999999999999992E-3</v>
      </c>
      <c r="BD16" s="10">
        <v>1.356726032599576</v>
      </c>
      <c r="BE16" s="10">
        <v>0.90480000000000005</v>
      </c>
      <c r="BF16" s="10">
        <v>-0.22869999999999999</v>
      </c>
      <c r="BG16" s="10">
        <v>0.28060000000000002</v>
      </c>
      <c r="BH16" s="13">
        <v>793.4197998046875</v>
      </c>
      <c r="BI16" s="11">
        <v>1.8668701171875</v>
      </c>
      <c r="BJ16" s="13">
        <v>2796.0051104999138</v>
      </c>
      <c r="BK16" s="11">
        <v>0.79794666395545477</v>
      </c>
      <c r="BL16" s="13">
        <v>3589.4249103046018</v>
      </c>
      <c r="BM16" s="11">
        <v>1.332408390571477</v>
      </c>
    </row>
    <row r="17" spans="1:65" ht="27" customHeight="1">
      <c r="A17" s="4">
        <v>15</v>
      </c>
      <c r="B17" s="7">
        <f t="shared" si="0"/>
        <v>1.4000000000000001</v>
      </c>
      <c r="C17" s="8">
        <v>2</v>
      </c>
      <c r="D17" s="8" t="s">
        <v>79</v>
      </c>
      <c r="E17" s="5" t="s">
        <v>76</v>
      </c>
      <c r="F17" s="4">
        <v>1.401</v>
      </c>
      <c r="G17" s="3" t="s">
        <v>90</v>
      </c>
      <c r="H17" s="5" t="s">
        <v>76</v>
      </c>
      <c r="I17" s="4">
        <v>1.399</v>
      </c>
      <c r="J17" s="3" t="s">
        <v>90</v>
      </c>
      <c r="K17" s="5" t="s">
        <v>76</v>
      </c>
      <c r="L17" s="4">
        <v>1.4</v>
      </c>
      <c r="M17" s="3" t="s">
        <v>90</v>
      </c>
      <c r="N17" s="6" t="s">
        <v>91</v>
      </c>
      <c r="P17">
        <v>42.177477000000003</v>
      </c>
      <c r="Q17">
        <v>-3.4612409999999998</v>
      </c>
      <c r="R17">
        <v>9.5779999999999994</v>
      </c>
      <c r="S17">
        <v>0.12</v>
      </c>
      <c r="T17" s="10">
        <v>-7.4280965232864218E-2</v>
      </c>
      <c r="U17" s="10">
        <v>-0.10009999999999999</v>
      </c>
      <c r="V17" s="10">
        <v>-3.2599999999999997E-2</v>
      </c>
      <c r="W17" s="10">
        <v>3.8399999999999997E-2</v>
      </c>
      <c r="X17" s="10">
        <v>7.5323261717855444E-2</v>
      </c>
      <c r="Y17" s="10">
        <v>8.4699999999999998E-2</v>
      </c>
      <c r="Z17" s="10">
        <v>-1.7100000000000001E-2</v>
      </c>
      <c r="AA17" s="10">
        <v>1.6899999999999998E-2</v>
      </c>
      <c r="AB17" s="10">
        <v>-3.0630301895095489</v>
      </c>
      <c r="AC17" s="10">
        <v>-3.0807000000000002</v>
      </c>
      <c r="AD17" s="10">
        <v>-3.1399999999999997E-2</v>
      </c>
      <c r="AE17" s="10">
        <v>3.4799999999999998E-2</v>
      </c>
      <c r="AF17" s="10">
        <v>133.37280545046221</v>
      </c>
      <c r="AG17" s="10">
        <v>122.1661</v>
      </c>
      <c r="AH17" s="10">
        <v>-9.1649999999999991</v>
      </c>
      <c r="AI17" s="10">
        <v>10.2638</v>
      </c>
      <c r="AJ17" s="10">
        <v>0.75242691077001267</v>
      </c>
      <c r="AK17" s="10">
        <v>0.6986</v>
      </c>
      <c r="AL17" s="10">
        <v>-4.9099999999999998E-2</v>
      </c>
      <c r="AM17" s="10">
        <v>5.5599999999999997E-2</v>
      </c>
      <c r="AN17" s="10">
        <v>0.36153063102102739</v>
      </c>
      <c r="AO17" s="10">
        <v>0.37440000000000001</v>
      </c>
      <c r="AP17" s="10">
        <v>-1.4800000000000001E-2</v>
      </c>
      <c r="AQ17" s="10">
        <v>1.44E-2</v>
      </c>
      <c r="AR17" s="10">
        <v>4.2923840728365592</v>
      </c>
      <c r="AS17" s="10">
        <v>4.2926000000000002</v>
      </c>
      <c r="AT17" s="10">
        <v>-5.0000000000000001E-3</v>
      </c>
      <c r="AU17" s="10">
        <v>5.0000000000000001E-3</v>
      </c>
      <c r="AV17" s="10">
        <v>-5.4911028021265913E-2</v>
      </c>
      <c r="AW17" s="10">
        <v>-3.5200000000000002E-2</v>
      </c>
      <c r="AX17" s="10">
        <v>-1.8599999999999998E-2</v>
      </c>
      <c r="AY17" s="10">
        <v>1.78E-2</v>
      </c>
      <c r="AZ17" s="10">
        <v>0.29084885446726139</v>
      </c>
      <c r="BA17" s="10">
        <v>0.27679999999999999</v>
      </c>
      <c r="BB17" s="10">
        <v>-2.0500000000000001E-2</v>
      </c>
      <c r="BC17" s="10">
        <v>2.4500000000000001E-2</v>
      </c>
      <c r="BD17" s="10">
        <v>0.1314927924757624</v>
      </c>
      <c r="BE17" s="10">
        <v>0.1298</v>
      </c>
      <c r="BF17" s="10">
        <v>-2.4799999999999999E-2</v>
      </c>
      <c r="BG17" s="10">
        <v>2.7699999999999999E-2</v>
      </c>
      <c r="BH17" s="13">
        <v>1519.490600585938</v>
      </c>
      <c r="BI17" s="11">
        <v>3.5752720013786758</v>
      </c>
      <c r="BJ17" s="13">
        <v>3621.977472560955</v>
      </c>
      <c r="BK17" s="11">
        <v>2.0673387400462069</v>
      </c>
      <c r="BL17" s="13">
        <v>5141.4680731468916</v>
      </c>
      <c r="BM17" s="11">
        <v>2.8213053707124418</v>
      </c>
    </row>
    <row r="18" spans="1:65" ht="27" customHeight="1">
      <c r="A18" s="4">
        <v>16</v>
      </c>
      <c r="B18" s="7">
        <f t="shared" si="0"/>
        <v>0.68200000000000005</v>
      </c>
      <c r="C18" s="8">
        <v>3</v>
      </c>
      <c r="D18" s="8" t="s">
        <v>79</v>
      </c>
      <c r="E18" s="5" t="s">
        <v>76</v>
      </c>
      <c r="F18" s="4">
        <v>0.68200000000000005</v>
      </c>
      <c r="G18" s="3" t="s">
        <v>89</v>
      </c>
      <c r="H18" s="5" t="s">
        <v>76</v>
      </c>
      <c r="I18" s="4">
        <v>0.68200000000000005</v>
      </c>
      <c r="J18" s="3" t="s">
        <v>80</v>
      </c>
      <c r="K18" s="5" t="s">
        <v>76</v>
      </c>
      <c r="L18" s="4">
        <v>0.68200000000000005</v>
      </c>
      <c r="M18" s="3" t="s">
        <v>89</v>
      </c>
      <c r="N18" s="6"/>
      <c r="O18" s="3" t="s">
        <v>92</v>
      </c>
      <c r="P18">
        <v>42.139733</v>
      </c>
      <c r="Q18">
        <v>-3.4466915999999999</v>
      </c>
      <c r="R18">
        <v>9.5860000000000003</v>
      </c>
      <c r="S18">
        <v>4.5999999999999999E-2</v>
      </c>
      <c r="T18" s="10">
        <v>0.149555932391919</v>
      </c>
      <c r="U18" s="10">
        <v>0.14349999999999999</v>
      </c>
      <c r="V18" s="10">
        <v>-7.0000000000000001E-3</v>
      </c>
      <c r="W18" s="10">
        <v>4.4999999999999997E-3</v>
      </c>
      <c r="X18" s="10">
        <v>8.414732243726436E-2</v>
      </c>
      <c r="Y18" s="10">
        <v>9.5500000000000002E-2</v>
      </c>
      <c r="Z18" s="10">
        <v>-3.0200000000000001E-2</v>
      </c>
      <c r="AA18" s="10">
        <v>2.7300000000000001E-2</v>
      </c>
      <c r="AB18" s="10">
        <v>-2.3630947816016401</v>
      </c>
      <c r="AC18" s="10">
        <v>-2.3740000000000001</v>
      </c>
      <c r="AD18" s="10">
        <v>-1.4E-2</v>
      </c>
      <c r="AE18" s="10">
        <v>1.1299999999999999E-2</v>
      </c>
      <c r="AF18" s="10">
        <v>85.159523525803309</v>
      </c>
      <c r="AG18" s="10">
        <v>82.663700000000006</v>
      </c>
      <c r="AH18" s="10">
        <v>-4.1797000000000004</v>
      </c>
      <c r="AI18" s="10">
        <v>3.0518000000000001</v>
      </c>
      <c r="AJ18" s="10">
        <v>0.29280275933793742</v>
      </c>
      <c r="AK18" s="10">
        <v>0.30280000000000001</v>
      </c>
      <c r="AL18" s="10">
        <v>-2.1600000000000001E-2</v>
      </c>
      <c r="AM18" s="10">
        <v>1.9699999999999999E-2</v>
      </c>
      <c r="AN18" s="10">
        <v>1.1885857443103081</v>
      </c>
      <c r="AO18" s="10">
        <v>1.1705000000000001</v>
      </c>
      <c r="AP18" s="10">
        <v>-3.2300000000000002E-2</v>
      </c>
      <c r="AQ18" s="10">
        <v>3.6700000000000003E-2</v>
      </c>
      <c r="AR18" s="10">
        <v>4.5563287390455613</v>
      </c>
      <c r="AS18" s="10">
        <v>4.5571000000000002</v>
      </c>
      <c r="AT18" s="10">
        <v>-2.8E-3</v>
      </c>
      <c r="AU18" s="10">
        <v>2.8E-3</v>
      </c>
      <c r="AV18" s="10">
        <v>0.124126686139755</v>
      </c>
      <c r="AW18" s="10">
        <v>0.127</v>
      </c>
      <c r="AX18" s="10">
        <v>-5.3E-3</v>
      </c>
      <c r="AY18" s="10">
        <v>5.1000000000000004E-3</v>
      </c>
      <c r="AZ18" s="10">
        <v>6.8927455864966403E-2</v>
      </c>
      <c r="BA18" s="10">
        <v>7.0999999999999994E-2</v>
      </c>
      <c r="BB18" s="10">
        <v>-4.4000000000000003E-3</v>
      </c>
      <c r="BC18" s="10">
        <v>4.3E-3</v>
      </c>
      <c r="BD18" s="10">
        <v>1.8675172734619641</v>
      </c>
      <c r="BE18" s="10">
        <v>1.1425000000000001</v>
      </c>
      <c r="BF18" s="10">
        <v>-0.94630000000000003</v>
      </c>
      <c r="BG18" s="10">
        <v>0.61219999999999997</v>
      </c>
      <c r="BH18" s="13">
        <v>1307.043334960938</v>
      </c>
      <c r="BI18" s="11">
        <v>3.0467210605150061</v>
      </c>
      <c r="BJ18" s="13">
        <v>1486.8092388171151</v>
      </c>
      <c r="BK18" s="11">
        <v>0.84286238028181126</v>
      </c>
      <c r="BL18" s="13">
        <v>2793.8525737780528</v>
      </c>
      <c r="BM18" s="11">
        <v>1.944791720398408</v>
      </c>
    </row>
    <row r="19" spans="1:65" ht="27" customHeight="1">
      <c r="A19" s="4">
        <v>17</v>
      </c>
      <c r="B19" s="7">
        <f t="shared" si="0"/>
        <v>0.61199999999999999</v>
      </c>
      <c r="C19" s="8">
        <v>3</v>
      </c>
      <c r="D19" s="8" t="s">
        <v>93</v>
      </c>
      <c r="E19" s="5" t="s">
        <v>71</v>
      </c>
      <c r="H19" s="5" t="s">
        <v>71</v>
      </c>
      <c r="I19" s="4"/>
      <c r="K19" s="5" t="s">
        <v>74</v>
      </c>
      <c r="L19" s="4">
        <v>0.61199999999999999</v>
      </c>
      <c r="M19" s="3" t="s">
        <v>75</v>
      </c>
      <c r="N19" s="6"/>
      <c r="O19" s="3" t="s">
        <v>86</v>
      </c>
      <c r="P19">
        <v>42.172676000000003</v>
      </c>
      <c r="Q19">
        <v>-3.4662291000000001</v>
      </c>
      <c r="R19">
        <v>9.5660000000000007</v>
      </c>
      <c r="S19">
        <v>0.09</v>
      </c>
      <c r="T19" s="10">
        <v>0.14251294188192329</v>
      </c>
      <c r="U19" s="10">
        <v>0.1391</v>
      </c>
      <c r="V19" s="10">
        <v>-1.66E-2</v>
      </c>
      <c r="W19" s="10">
        <v>8.0999999999999996E-3</v>
      </c>
      <c r="X19" s="10">
        <v>0.1297149793407627</v>
      </c>
      <c r="Y19" s="10">
        <v>0.1196</v>
      </c>
      <c r="Z19" s="10">
        <v>-2.4400000000000002E-2</v>
      </c>
      <c r="AA19" s="10">
        <v>1.9599999999999999E-2</v>
      </c>
      <c r="AB19" s="10">
        <v>2.739713972755466</v>
      </c>
      <c r="AC19" s="10">
        <v>2.7955000000000001</v>
      </c>
      <c r="AD19" s="10">
        <v>-4.8000000000000001E-2</v>
      </c>
      <c r="AE19" s="10">
        <v>5.5E-2</v>
      </c>
      <c r="AF19" s="10">
        <v>81.530284673470135</v>
      </c>
      <c r="AG19" s="10">
        <v>90.431200000000004</v>
      </c>
      <c r="AH19" s="10">
        <v>-9.1437000000000008</v>
      </c>
      <c r="AI19" s="10">
        <v>10.2529</v>
      </c>
      <c r="AJ19" s="10">
        <v>0.670378103966492</v>
      </c>
      <c r="AK19" s="10">
        <v>0.67149999999999999</v>
      </c>
      <c r="AL19" s="10">
        <v>-3.0200000000000001E-2</v>
      </c>
      <c r="AM19" s="10">
        <v>3.0300000000000001E-2</v>
      </c>
      <c r="AN19" s="10">
        <v>0.85879159484470646</v>
      </c>
      <c r="AO19" s="10">
        <v>0.85980000000000001</v>
      </c>
      <c r="AP19" s="10">
        <v>-2.1100000000000001E-2</v>
      </c>
      <c r="AQ19" s="10">
        <v>2.1999999999999999E-2</v>
      </c>
      <c r="AR19" s="10">
        <v>4.6079992334366153</v>
      </c>
      <c r="AS19" s="10">
        <v>4.6093000000000002</v>
      </c>
      <c r="AT19" s="10">
        <v>-5.4999999999999997E-3</v>
      </c>
      <c r="AU19" s="10">
        <v>5.4999999999999997E-3</v>
      </c>
      <c r="AV19" s="10">
        <v>0.21042464863104191</v>
      </c>
      <c r="AW19" s="10">
        <v>0.19009999999999999</v>
      </c>
      <c r="AX19" s="10">
        <v>-1.66E-2</v>
      </c>
      <c r="AY19" s="10">
        <v>1.5299999999999999E-2</v>
      </c>
      <c r="AZ19" s="10">
        <v>0.17709351801842921</v>
      </c>
      <c r="BA19" s="10">
        <v>0.18540000000000001</v>
      </c>
      <c r="BB19" s="10">
        <v>-1.3100000000000001E-2</v>
      </c>
      <c r="BC19" s="10">
        <v>1.4E-2</v>
      </c>
      <c r="BD19" s="10">
        <v>1.8934612825085471</v>
      </c>
      <c r="BE19" s="10">
        <v>1.8942000000000001</v>
      </c>
      <c r="BF19" s="10">
        <v>-0.14430000000000001</v>
      </c>
      <c r="BG19" s="10">
        <v>7.6899999999999996E-2</v>
      </c>
      <c r="BH19" s="13">
        <v>728.418701171875</v>
      </c>
      <c r="BI19" s="11">
        <v>1.7139263556985289</v>
      </c>
      <c r="BJ19" s="13">
        <v>7648.9990873211182</v>
      </c>
      <c r="BK19" s="11">
        <v>2.182933529486621</v>
      </c>
      <c r="BL19" s="13">
        <v>8377.4177884929923</v>
      </c>
      <c r="BM19" s="11">
        <v>1.9484299425925751</v>
      </c>
    </row>
    <row r="20" spans="1:65" ht="27" customHeight="1">
      <c r="A20" s="4">
        <v>18</v>
      </c>
      <c r="B20" s="7">
        <f t="shared" si="0"/>
        <v>0.84699999999999998</v>
      </c>
      <c r="C20" s="8">
        <v>3</v>
      </c>
      <c r="D20" s="8" t="s">
        <v>74</v>
      </c>
      <c r="E20" s="5" t="s">
        <v>71</v>
      </c>
      <c r="H20" s="5" t="s">
        <v>74</v>
      </c>
      <c r="I20" s="4">
        <v>0.84699999999999998</v>
      </c>
      <c r="J20" s="3" t="s">
        <v>80</v>
      </c>
      <c r="K20" s="5" t="s">
        <v>74</v>
      </c>
      <c r="L20" s="4">
        <v>0.84699999999999998</v>
      </c>
      <c r="M20" s="3" t="s">
        <v>89</v>
      </c>
      <c r="N20" s="6"/>
      <c r="P20">
        <v>42.128580999999997</v>
      </c>
      <c r="Q20">
        <v>-3.4493950999999998</v>
      </c>
      <c r="R20">
        <v>10.016</v>
      </c>
      <c r="S20">
        <v>5.0999999999999997E-2</v>
      </c>
      <c r="T20" s="10">
        <v>-9.7605632660681313E-2</v>
      </c>
      <c r="U20" s="10">
        <v>-8.8900000000000007E-2</v>
      </c>
      <c r="V20" s="10">
        <v>-1.41E-2</v>
      </c>
      <c r="W20" s="10">
        <v>1.23E-2</v>
      </c>
      <c r="X20" s="10">
        <v>-1.253388543739728E-2</v>
      </c>
      <c r="Y20" s="10">
        <v>-5.5899999999999998E-2</v>
      </c>
      <c r="Z20" s="10">
        <v>-2.9000000000000001E-2</v>
      </c>
      <c r="AA20" s="10">
        <v>4.1500000000000002E-2</v>
      </c>
      <c r="AB20" s="10">
        <v>-0.73001999263958783</v>
      </c>
      <c r="AC20" s="10">
        <v>-0.75890000000000002</v>
      </c>
      <c r="AD20" s="10">
        <v>-5.4100000000000002E-2</v>
      </c>
      <c r="AE20" s="10">
        <v>5.7200000000000001E-2</v>
      </c>
      <c r="AF20" s="10">
        <v>119.66326108128339</v>
      </c>
      <c r="AG20" s="10">
        <v>137.34889999999999</v>
      </c>
      <c r="AH20" s="10">
        <v>-15.7577</v>
      </c>
      <c r="AI20" s="10">
        <v>18.679600000000001</v>
      </c>
      <c r="AJ20" s="10">
        <v>0.74668871412410731</v>
      </c>
      <c r="AK20" s="10">
        <v>0.82020000000000004</v>
      </c>
      <c r="AL20" s="10">
        <v>-6.7699999999999996E-2</v>
      </c>
      <c r="AM20" s="10">
        <v>4.9700000000000001E-2</v>
      </c>
      <c r="AN20" s="10">
        <v>0.59020738748722712</v>
      </c>
      <c r="AO20" s="10">
        <v>0.56520000000000004</v>
      </c>
      <c r="AP20" s="10">
        <v>-1.7000000000000001E-2</v>
      </c>
      <c r="AQ20" s="10">
        <v>2.3900000000000001E-2</v>
      </c>
      <c r="AR20" s="10">
        <v>4.6531671323673676</v>
      </c>
      <c r="AS20" s="10">
        <v>4.6538000000000004</v>
      </c>
      <c r="AT20" s="10">
        <v>-3.8E-3</v>
      </c>
      <c r="AU20" s="10">
        <v>4.0000000000000001E-3</v>
      </c>
      <c r="AV20" s="10">
        <v>-0.50568953255201721</v>
      </c>
      <c r="AW20" s="10">
        <v>-0.50429999999999997</v>
      </c>
      <c r="AX20" s="10">
        <v>-1.15E-2</v>
      </c>
      <c r="AY20" s="10">
        <v>1.06E-2</v>
      </c>
      <c r="AZ20" s="10">
        <v>-4.3387173533710348E-2</v>
      </c>
      <c r="BA20" s="10">
        <v>-2.8899999999999999E-2</v>
      </c>
      <c r="BB20" s="10">
        <v>-2.5399999999999999E-2</v>
      </c>
      <c r="BC20" s="10">
        <v>2.3E-2</v>
      </c>
      <c r="BD20" s="10">
        <v>9.0235799039456499E-2</v>
      </c>
      <c r="BE20" s="10">
        <v>6.3600000000000004E-2</v>
      </c>
      <c r="BF20" s="10">
        <v>-3.3000000000000002E-2</v>
      </c>
      <c r="BG20" s="10">
        <v>3.8699999999999998E-2</v>
      </c>
      <c r="BH20" s="13">
        <v>880.4166259765625</v>
      </c>
      <c r="BI20" s="11">
        <v>2.0715685317095591</v>
      </c>
      <c r="BJ20" s="13">
        <v>2697.0499527095831</v>
      </c>
      <c r="BK20" s="11">
        <v>0.76970603673218685</v>
      </c>
      <c r="BL20" s="13">
        <v>3577.4665786861451</v>
      </c>
      <c r="BM20" s="11">
        <v>1.420637284220873</v>
      </c>
    </row>
    <row r="21" spans="1:65" ht="27" customHeight="1">
      <c r="A21" s="4">
        <v>19</v>
      </c>
      <c r="B21" s="7">
        <f t="shared" si="0"/>
        <v>0.63300000000000001</v>
      </c>
      <c r="C21" s="8">
        <v>3</v>
      </c>
      <c r="D21" s="8" t="s">
        <v>74</v>
      </c>
      <c r="E21" s="5" t="s">
        <v>74</v>
      </c>
      <c r="F21" s="4">
        <v>0.63300000000000001</v>
      </c>
      <c r="G21" s="3" t="s">
        <v>89</v>
      </c>
      <c r="H21" s="5" t="s">
        <v>74</v>
      </c>
      <c r="I21" s="4">
        <v>0.63300000000000001</v>
      </c>
      <c r="J21" s="3" t="s">
        <v>80</v>
      </c>
      <c r="K21" s="5" t="s">
        <v>73</v>
      </c>
      <c r="N21" s="6"/>
      <c r="O21" s="3" t="s">
        <v>92</v>
      </c>
      <c r="P21">
        <v>42.132376000000001</v>
      </c>
      <c r="Q21">
        <v>-3.4546560999999998</v>
      </c>
      <c r="R21">
        <v>9.3059999999999992</v>
      </c>
      <c r="S21">
        <v>6.3E-2</v>
      </c>
      <c r="T21" s="10">
        <v>-7.303441915912319E-2</v>
      </c>
      <c r="U21" s="10">
        <v>-7.9699999999999993E-2</v>
      </c>
      <c r="V21" s="10">
        <v>-2.4799999999999999E-2</v>
      </c>
      <c r="W21" s="10">
        <v>2.8799999999999999E-2</v>
      </c>
      <c r="X21" s="10">
        <v>0.1249219537610831</v>
      </c>
      <c r="Y21" s="10">
        <v>0.107</v>
      </c>
      <c r="Z21" s="10">
        <v>-4.7399999999999998E-2</v>
      </c>
      <c r="AA21" s="10">
        <v>3.0599999999999999E-2</v>
      </c>
      <c r="AB21" s="10">
        <v>2.1819181968194918</v>
      </c>
      <c r="AC21" s="10">
        <v>2.1747000000000001</v>
      </c>
      <c r="AD21" s="10">
        <v>-4.1099999999999998E-2</v>
      </c>
      <c r="AE21" s="10">
        <v>4.1000000000000002E-2</v>
      </c>
      <c r="AF21" s="10">
        <v>155.76764461525991</v>
      </c>
      <c r="AG21" s="10">
        <v>117.27200000000001</v>
      </c>
      <c r="AH21" s="10">
        <v>-11.2041</v>
      </c>
      <c r="AI21" s="10">
        <v>12.401199999999999</v>
      </c>
      <c r="AJ21" s="10">
        <v>0.58045199332339947</v>
      </c>
      <c r="AK21" s="10">
        <v>0.59219999999999995</v>
      </c>
      <c r="AL21" s="10">
        <v>-4.2299999999999997E-2</v>
      </c>
      <c r="AM21" s="10">
        <v>6.6799999999999998E-2</v>
      </c>
      <c r="AN21" s="10">
        <v>0.60233717622968819</v>
      </c>
      <c r="AO21" s="10">
        <v>0.5978</v>
      </c>
      <c r="AP21" s="10">
        <v>-2.8899999999999999E-2</v>
      </c>
      <c r="AQ21" s="10">
        <v>2.3699999999999999E-2</v>
      </c>
      <c r="AR21" s="10">
        <v>4.4541066616988791</v>
      </c>
      <c r="AS21" s="10">
        <v>4.4530000000000003</v>
      </c>
      <c r="AT21" s="10">
        <v>-4.7999999999999996E-3</v>
      </c>
      <c r="AU21" s="10">
        <v>5.0000000000000001E-3</v>
      </c>
      <c r="AV21" s="10">
        <v>0.15959973267065711</v>
      </c>
      <c r="AW21" s="10">
        <v>0.15809999999999999</v>
      </c>
      <c r="AX21" s="10">
        <v>-1.3899999999999999E-2</v>
      </c>
      <c r="AY21" s="10">
        <v>1.46E-2</v>
      </c>
      <c r="AZ21" s="10">
        <v>-0.1327671989710604</v>
      </c>
      <c r="BA21" s="10">
        <v>-0.13919999999999999</v>
      </c>
      <c r="BB21" s="10">
        <v>-1.61E-2</v>
      </c>
      <c r="BC21" s="10">
        <v>1.18E-2</v>
      </c>
      <c r="BD21" s="10">
        <v>0.77995633117778096</v>
      </c>
      <c r="BE21" s="10">
        <v>0.49459999999999998</v>
      </c>
      <c r="BF21" s="10">
        <v>-0.10539999999999999</v>
      </c>
      <c r="BG21" s="10">
        <v>0.12239999999999999</v>
      </c>
      <c r="BH21" s="13">
        <v>830.15576171875</v>
      </c>
      <c r="BI21" s="11">
        <v>1.9350950156614219</v>
      </c>
      <c r="BJ21" s="13">
        <v>1467.0324562892661</v>
      </c>
      <c r="BK21" s="11">
        <v>0.83165105231817815</v>
      </c>
      <c r="BL21" s="13">
        <v>2297.188218008017</v>
      </c>
      <c r="BM21" s="11">
        <v>1.3833730339898</v>
      </c>
    </row>
    <row r="22" spans="1:65" ht="27" customHeight="1">
      <c r="A22" s="4">
        <v>20</v>
      </c>
      <c r="B22" s="7">
        <f t="shared" si="0"/>
        <v>0.47399999999999998</v>
      </c>
      <c r="C22" s="8">
        <v>3</v>
      </c>
      <c r="D22" s="8" t="s">
        <v>74</v>
      </c>
      <c r="E22" s="5" t="s">
        <v>71</v>
      </c>
      <c r="H22" s="5" t="s">
        <v>74</v>
      </c>
      <c r="I22" s="4">
        <v>0.47399999999999998</v>
      </c>
      <c r="J22" s="3" t="s">
        <v>80</v>
      </c>
      <c r="K22" s="5" t="s">
        <v>74</v>
      </c>
      <c r="L22" s="4">
        <v>0.47399999999999998</v>
      </c>
      <c r="M22" s="3" t="s">
        <v>89</v>
      </c>
      <c r="N22" s="6"/>
      <c r="P22">
        <v>42.195256999999998</v>
      </c>
      <c r="Q22">
        <v>-3.4888566999999999</v>
      </c>
      <c r="R22">
        <v>8.6560000000000006</v>
      </c>
      <c r="S22">
        <v>5.6000000000000001E-2</v>
      </c>
      <c r="T22" s="10">
        <v>3.7671408129830108E-2</v>
      </c>
      <c r="U22" s="10">
        <v>6.8099999999999994E-2</v>
      </c>
      <c r="V22" s="10">
        <v>-7.3300000000000004E-2</v>
      </c>
      <c r="W22" s="10">
        <v>5.6800000000000003E-2</v>
      </c>
      <c r="X22" s="10">
        <v>0.1498605925693747</v>
      </c>
      <c r="Y22" s="10">
        <v>0.14019999999999999</v>
      </c>
      <c r="Z22" s="10">
        <v>-1.6500000000000001E-2</v>
      </c>
      <c r="AA22" s="10">
        <v>7.4000000000000003E-3</v>
      </c>
      <c r="AB22" s="10">
        <v>1.532539989238525</v>
      </c>
      <c r="AC22" s="10">
        <v>1.4850000000000001</v>
      </c>
      <c r="AD22" s="10">
        <v>-4.5699999999999998E-2</v>
      </c>
      <c r="AE22" s="10">
        <v>4.2900000000000001E-2</v>
      </c>
      <c r="AF22" s="10">
        <v>65.275383620745032</v>
      </c>
      <c r="AG22" s="10">
        <v>63.888599999999997</v>
      </c>
      <c r="AH22" s="10">
        <v>-5.7111999999999998</v>
      </c>
      <c r="AI22" s="10">
        <v>6.1626000000000003</v>
      </c>
      <c r="AJ22" s="10">
        <v>0.4671162823985171</v>
      </c>
      <c r="AK22" s="10">
        <v>0.4093</v>
      </c>
      <c r="AL22" s="10">
        <v>-5.9499999999999997E-2</v>
      </c>
      <c r="AM22" s="10">
        <v>8.3799999999999999E-2</v>
      </c>
      <c r="AN22" s="10">
        <v>0.26901871813736</v>
      </c>
      <c r="AO22" s="10">
        <v>0.27779999999999999</v>
      </c>
      <c r="AP22" s="10">
        <v>-2.01E-2</v>
      </c>
      <c r="AQ22" s="10">
        <v>1.7600000000000001E-2</v>
      </c>
      <c r="AR22" s="10">
        <v>4.3197228091888746</v>
      </c>
      <c r="AS22" s="10">
        <v>4.3186</v>
      </c>
      <c r="AT22" s="10">
        <v>-5.3E-3</v>
      </c>
      <c r="AU22" s="10">
        <v>5.4000000000000003E-3</v>
      </c>
      <c r="AV22" s="10">
        <v>0.38203249603105149</v>
      </c>
      <c r="AW22" s="10">
        <v>0.34839999999999999</v>
      </c>
      <c r="AX22" s="10">
        <v>-3.6299999999999999E-2</v>
      </c>
      <c r="AY22" s="10">
        <v>3.3300000000000003E-2</v>
      </c>
      <c r="AZ22" s="10">
        <v>-0.58080666398802117</v>
      </c>
      <c r="BA22" s="10">
        <v>-0.56340000000000001</v>
      </c>
      <c r="BB22" s="10">
        <v>-8.8400000000000006E-2</v>
      </c>
      <c r="BC22" s="10">
        <v>6.0400000000000002E-2</v>
      </c>
      <c r="BD22" s="10">
        <v>1.275311638690761E-2</v>
      </c>
      <c r="BE22" s="10">
        <v>4.5999999999999999E-2</v>
      </c>
      <c r="BF22" s="10">
        <v>-2.69E-2</v>
      </c>
      <c r="BG22" s="10">
        <v>5.6099999999999997E-2</v>
      </c>
      <c r="BH22" s="13">
        <v>1139.133544921875</v>
      </c>
      <c r="BI22" s="11">
        <v>2.6803142233455879</v>
      </c>
      <c r="BJ22" s="13">
        <v>2756.4561344136819</v>
      </c>
      <c r="BK22" s="11">
        <v>0.78665985571166719</v>
      </c>
      <c r="BL22" s="13">
        <v>3895.5896793355569</v>
      </c>
      <c r="BM22" s="11">
        <v>1.7334870395286279</v>
      </c>
    </row>
    <row r="23" spans="1:65" ht="27" customHeight="1">
      <c r="A23" s="4">
        <v>21</v>
      </c>
      <c r="B23" s="7">
        <f t="shared" si="0"/>
        <v>0.90233333333333343</v>
      </c>
      <c r="C23" s="8">
        <v>3</v>
      </c>
      <c r="D23" s="8" t="s">
        <v>74</v>
      </c>
      <c r="E23" s="5" t="s">
        <v>74</v>
      </c>
      <c r="F23" s="4">
        <v>0.90300000000000002</v>
      </c>
      <c r="G23" s="3" t="s">
        <v>90</v>
      </c>
      <c r="H23" s="5" t="s">
        <v>74</v>
      </c>
      <c r="I23" s="4">
        <v>0.90200000000000002</v>
      </c>
      <c r="J23" s="3" t="s">
        <v>94</v>
      </c>
      <c r="K23" s="5" t="s">
        <v>74</v>
      </c>
      <c r="L23" s="4">
        <v>0.90200000000000002</v>
      </c>
      <c r="M23" s="3" t="s">
        <v>90</v>
      </c>
      <c r="N23" s="6"/>
      <c r="P23">
        <v>42.194816000000003</v>
      </c>
      <c r="Q23">
        <v>-3.4955870999999998</v>
      </c>
      <c r="R23">
        <v>9.3829999999999991</v>
      </c>
      <c r="S23">
        <v>5.5E-2</v>
      </c>
      <c r="T23" s="10">
        <v>-0.14308199539420391</v>
      </c>
      <c r="U23" s="10">
        <v>-0.1472</v>
      </c>
      <c r="V23" s="10">
        <v>-2.0999999999999999E-3</v>
      </c>
      <c r="W23" s="10">
        <v>5.1999999999999998E-3</v>
      </c>
      <c r="X23" s="10">
        <v>0.14721945498106581</v>
      </c>
      <c r="Y23" s="10">
        <v>0.1462</v>
      </c>
      <c r="Z23" s="10">
        <v>-6.4999999999999997E-3</v>
      </c>
      <c r="AA23" s="10">
        <v>2.8999999999999998E-3</v>
      </c>
      <c r="AB23" s="10">
        <v>2.0156369511465129</v>
      </c>
      <c r="AC23" s="10">
        <v>2.0148000000000001</v>
      </c>
      <c r="AD23" s="10">
        <v>-2.6200000000000001E-2</v>
      </c>
      <c r="AE23" s="10">
        <v>2.7099999999999999E-2</v>
      </c>
      <c r="AF23" s="10">
        <v>91.247943648224336</v>
      </c>
      <c r="AG23" s="10">
        <v>89.654200000000003</v>
      </c>
      <c r="AH23" s="10">
        <v>-4.6722999999999999</v>
      </c>
      <c r="AI23" s="10">
        <v>4.7584999999999997</v>
      </c>
      <c r="AJ23" s="10">
        <v>0.63419013936498891</v>
      </c>
      <c r="AK23" s="10">
        <v>0.63849999999999996</v>
      </c>
      <c r="AL23" s="10">
        <v>-1.9400000000000001E-2</v>
      </c>
      <c r="AM23" s="10">
        <v>2.06E-2</v>
      </c>
      <c r="AN23" s="10">
        <v>0.53332924411666438</v>
      </c>
      <c r="AO23" s="10">
        <v>0.53159999999999996</v>
      </c>
      <c r="AP23" s="10">
        <v>-1.03E-2</v>
      </c>
      <c r="AQ23" s="10">
        <v>1.09E-2</v>
      </c>
      <c r="AR23" s="10">
        <v>4.5021697437251396</v>
      </c>
      <c r="AS23" s="10">
        <v>4.4996999999999998</v>
      </c>
      <c r="AT23" s="10">
        <v>-5.1000000000000004E-3</v>
      </c>
      <c r="AU23" s="10">
        <v>5.1000000000000004E-3</v>
      </c>
      <c r="AV23" s="10">
        <v>8.2200877649386994E-2</v>
      </c>
      <c r="AW23" s="10">
        <v>7.7499999999999999E-2</v>
      </c>
      <c r="AX23" s="10">
        <v>-1.2999999999999999E-2</v>
      </c>
      <c r="AY23" s="10">
        <v>1.32E-2</v>
      </c>
      <c r="AZ23" s="10">
        <v>-0.2686129388017382</v>
      </c>
      <c r="BA23" s="10">
        <v>-0.26939999999999997</v>
      </c>
      <c r="BB23" s="10">
        <v>-1.0699999999999999E-2</v>
      </c>
      <c r="BC23" s="10">
        <v>1.06E-2</v>
      </c>
      <c r="BD23" s="10">
        <v>1.081852464949519E-2</v>
      </c>
      <c r="BE23" s="10">
        <v>1.84E-2</v>
      </c>
      <c r="BF23" s="10">
        <v>-6.1999999999999998E-3</v>
      </c>
      <c r="BG23" s="10">
        <v>1.4200000000000001E-2</v>
      </c>
      <c r="BH23" s="13">
        <v>1277.685546875</v>
      </c>
      <c r="BI23" s="11">
        <v>3.0348825341448928</v>
      </c>
      <c r="BJ23" s="13">
        <v>3882.9405859371541</v>
      </c>
      <c r="BK23" s="11">
        <v>1.1157875246945841</v>
      </c>
      <c r="BL23" s="13">
        <v>5160.6261328121536</v>
      </c>
      <c r="BM23" s="11">
        <v>2.075335029419739</v>
      </c>
    </row>
    <row r="24" spans="1:65" ht="27" customHeight="1">
      <c r="A24" s="4">
        <v>22</v>
      </c>
      <c r="B24" s="7" t="str">
        <f t="shared" si="0"/>
        <v/>
      </c>
      <c r="C24" s="8"/>
      <c r="D24" s="8" t="s">
        <v>70</v>
      </c>
      <c r="E24" s="5" t="s">
        <v>71</v>
      </c>
      <c r="H24" s="5" t="s">
        <v>71</v>
      </c>
      <c r="I24" s="4"/>
      <c r="K24" s="5" t="s">
        <v>71</v>
      </c>
      <c r="N24" s="6"/>
      <c r="P24">
        <v>42.197775999999998</v>
      </c>
      <c r="Q24">
        <v>-3.5000876999999999</v>
      </c>
    </row>
    <row r="25" spans="1:65" ht="27" customHeight="1">
      <c r="A25" s="4">
        <v>23</v>
      </c>
      <c r="B25" s="7">
        <f t="shared" si="0"/>
        <v>0.5655</v>
      </c>
      <c r="C25" s="8">
        <v>3</v>
      </c>
      <c r="D25" s="8" t="s">
        <v>74</v>
      </c>
      <c r="E25" s="5" t="s">
        <v>74</v>
      </c>
      <c r="F25" s="4">
        <v>0.5655</v>
      </c>
      <c r="G25" s="3" t="s">
        <v>89</v>
      </c>
      <c r="H25" s="5" t="s">
        <v>74</v>
      </c>
      <c r="I25" s="4">
        <v>0.56599999999999995</v>
      </c>
      <c r="J25" s="3" t="s">
        <v>77</v>
      </c>
      <c r="K25" s="5" t="s">
        <v>74</v>
      </c>
      <c r="L25" s="4">
        <v>0.56499999999999995</v>
      </c>
      <c r="M25" s="3" t="s">
        <v>89</v>
      </c>
      <c r="N25" s="6"/>
      <c r="P25">
        <v>42.130406000000001</v>
      </c>
      <c r="Q25">
        <v>-3.4720578</v>
      </c>
      <c r="R25">
        <v>9.5909999999999993</v>
      </c>
      <c r="S25">
        <v>8.3000000000000004E-2</v>
      </c>
      <c r="T25" s="10">
        <v>-9.4685792120900933E-2</v>
      </c>
      <c r="U25" s="10">
        <v>-8.7499999999999994E-2</v>
      </c>
      <c r="V25" s="10">
        <v>-7.0000000000000001E-3</v>
      </c>
      <c r="W25" s="10">
        <v>6.8999999999999999E-3</v>
      </c>
      <c r="X25" s="10">
        <v>0.1445776127759944</v>
      </c>
      <c r="Y25" s="10">
        <v>0.1313</v>
      </c>
      <c r="Z25" s="10">
        <v>-2.24E-2</v>
      </c>
      <c r="AA25" s="10">
        <v>1.3899999999999999E-2</v>
      </c>
      <c r="AB25" s="10">
        <v>2.3776504280300732</v>
      </c>
      <c r="AC25" s="10">
        <v>2.3612000000000002</v>
      </c>
      <c r="AD25" s="10">
        <v>-1.4200000000000001E-2</v>
      </c>
      <c r="AE25" s="10">
        <v>1.49E-2</v>
      </c>
      <c r="AF25" s="10">
        <v>141.68513081471701</v>
      </c>
      <c r="AG25" s="10">
        <v>141.7099</v>
      </c>
      <c r="AH25" s="10">
        <v>-5.944</v>
      </c>
      <c r="AI25" s="10">
        <v>6.1501000000000001</v>
      </c>
      <c r="AJ25" s="10">
        <v>0.63317127086821712</v>
      </c>
      <c r="AK25" s="10">
        <v>0.64800000000000002</v>
      </c>
      <c r="AL25" s="10">
        <v>-1.9199999999999998E-2</v>
      </c>
      <c r="AM25" s="10">
        <v>3.27E-2</v>
      </c>
      <c r="AN25" s="10">
        <v>0.56600635447525494</v>
      </c>
      <c r="AO25" s="10">
        <v>0.5585</v>
      </c>
      <c r="AP25" s="10">
        <v>-1.2699999999999999E-2</v>
      </c>
      <c r="AQ25" s="10">
        <v>8.6999999999999994E-3</v>
      </c>
      <c r="AR25" s="10">
        <v>4.9999881019828489</v>
      </c>
      <c r="AS25" s="10">
        <v>4.9997999999999996</v>
      </c>
      <c r="AT25" s="10">
        <v>-2.9999999999999997E-4</v>
      </c>
      <c r="AU25" s="10">
        <v>2.0000000000000001E-4</v>
      </c>
      <c r="AV25" s="10">
        <v>0.40020533667909031</v>
      </c>
      <c r="AW25" s="10">
        <v>0.40300000000000002</v>
      </c>
      <c r="AX25" s="10">
        <v>-6.0000000000000001E-3</v>
      </c>
      <c r="AY25" s="10">
        <v>5.8999999999999999E-3</v>
      </c>
      <c r="AZ25" s="10">
        <v>9.5141865435585782E-2</v>
      </c>
      <c r="BA25" s="10">
        <v>9.5399999999999999E-2</v>
      </c>
      <c r="BB25" s="10">
        <v>-6.1999999999999998E-3</v>
      </c>
      <c r="BC25" s="10">
        <v>6.7000000000000002E-3</v>
      </c>
      <c r="BD25" s="10">
        <v>0.34875777325721818</v>
      </c>
      <c r="BE25" s="10">
        <v>0.32790000000000002</v>
      </c>
      <c r="BF25" s="10">
        <v>-2.8899999999999999E-2</v>
      </c>
      <c r="BG25" s="10">
        <v>3.3500000000000002E-2</v>
      </c>
      <c r="BH25" s="13">
        <v>1473.594482421875</v>
      </c>
      <c r="BI25" s="11">
        <v>3.6475110951036509</v>
      </c>
      <c r="BJ25" s="13">
        <v>7990.4852279149763</v>
      </c>
      <c r="BK25" s="11">
        <v>2.2803896198387492</v>
      </c>
      <c r="BL25" s="13">
        <v>9464.0797103368513</v>
      </c>
      <c r="BM25" s="11">
        <v>2.9639503574711998</v>
      </c>
    </row>
    <row r="26" spans="1:65" ht="27" customHeight="1">
      <c r="A26" s="4">
        <v>24</v>
      </c>
      <c r="B26" s="7">
        <f t="shared" si="0"/>
        <v>0.84833333333333327</v>
      </c>
      <c r="C26" s="8">
        <v>3</v>
      </c>
      <c r="D26" s="8" t="s">
        <v>74</v>
      </c>
      <c r="E26" s="5" t="s">
        <v>74</v>
      </c>
      <c r="F26" s="4">
        <v>0.84899999999999998</v>
      </c>
      <c r="G26" s="3" t="s">
        <v>89</v>
      </c>
      <c r="H26" s="5" t="s">
        <v>74</v>
      </c>
      <c r="I26" s="4">
        <v>0.84799999999999998</v>
      </c>
      <c r="J26" s="3" t="s">
        <v>95</v>
      </c>
      <c r="K26" s="5" t="s">
        <v>74</v>
      </c>
      <c r="L26" s="4">
        <v>0.84799999999999998</v>
      </c>
      <c r="M26" s="3" t="s">
        <v>75</v>
      </c>
      <c r="N26" s="6"/>
      <c r="O26" s="3" t="s">
        <v>82</v>
      </c>
      <c r="P26">
        <v>42.137042000000001</v>
      </c>
      <c r="Q26">
        <v>-3.4785358</v>
      </c>
      <c r="R26">
        <v>9.6959999999999997</v>
      </c>
      <c r="S26">
        <v>8.2000000000000003E-2</v>
      </c>
      <c r="T26" s="10">
        <v>-0.14980973493246491</v>
      </c>
      <c r="U26" s="10">
        <v>-0.14699999999999999</v>
      </c>
      <c r="V26" s="10">
        <v>-2.2000000000000001E-3</v>
      </c>
      <c r="W26" s="10">
        <v>4.8999999999999998E-3</v>
      </c>
      <c r="X26" s="10">
        <v>0.13948406598518751</v>
      </c>
      <c r="Y26" s="10">
        <v>0.14280000000000001</v>
      </c>
      <c r="Z26" s="10">
        <v>-1.0699999999999999E-2</v>
      </c>
      <c r="AA26" s="10">
        <v>5.3E-3</v>
      </c>
      <c r="AB26" s="10">
        <v>2.1222381007527868</v>
      </c>
      <c r="AC26" s="10">
        <v>2.1276999999999999</v>
      </c>
      <c r="AD26" s="10">
        <v>-1.2800000000000001E-2</v>
      </c>
      <c r="AE26" s="10">
        <v>1.18E-2</v>
      </c>
      <c r="AF26" s="10">
        <v>186.2834268435289</v>
      </c>
      <c r="AG26" s="10">
        <v>180.88589999999999</v>
      </c>
      <c r="AH26" s="10">
        <v>-6.5076000000000001</v>
      </c>
      <c r="AI26" s="10">
        <v>6.9617000000000004</v>
      </c>
      <c r="AJ26" s="10">
        <v>0.44061753360448991</v>
      </c>
      <c r="AK26" s="10">
        <v>0.43919999999999998</v>
      </c>
      <c r="AL26" s="10">
        <v>-1.11E-2</v>
      </c>
      <c r="AM26" s="10">
        <v>1.3299999999999999E-2</v>
      </c>
      <c r="AN26" s="10">
        <v>0.66181402485982599</v>
      </c>
      <c r="AO26" s="10">
        <v>0.66979999999999995</v>
      </c>
      <c r="AP26" s="10">
        <v>-9.4999999999999998E-3</v>
      </c>
      <c r="AQ26" s="10">
        <v>9.4000000000000004E-3</v>
      </c>
      <c r="AR26" s="10">
        <v>4.5583652984357768</v>
      </c>
      <c r="AS26" s="10">
        <v>4.5587</v>
      </c>
      <c r="AT26" s="10">
        <v>-3.8E-3</v>
      </c>
      <c r="AU26" s="10">
        <v>3.8E-3</v>
      </c>
      <c r="AV26" s="10">
        <v>0.3014350909420509</v>
      </c>
      <c r="AW26" s="10">
        <v>0.29859999999999998</v>
      </c>
      <c r="AX26" s="10">
        <v>-9.9000000000000008E-3</v>
      </c>
      <c r="AY26" s="10">
        <v>1.01E-2</v>
      </c>
      <c r="AZ26" s="10">
        <v>-0.17647756991676641</v>
      </c>
      <c r="BA26" s="10">
        <v>-0.16839999999999999</v>
      </c>
      <c r="BB26" s="10">
        <v>-6.7999999999999996E-3</v>
      </c>
      <c r="BC26" s="10">
        <v>6.6E-3</v>
      </c>
      <c r="BD26" s="10">
        <v>0.32900337995906448</v>
      </c>
      <c r="BE26" s="10">
        <v>0.32219999999999999</v>
      </c>
      <c r="BF26" s="10">
        <v>-2.87E-2</v>
      </c>
      <c r="BG26" s="10">
        <v>3.2199999999999999E-2</v>
      </c>
      <c r="BH26" s="13">
        <v>1245.267822265625</v>
      </c>
      <c r="BI26" s="11">
        <v>2.9578808129824821</v>
      </c>
      <c r="BJ26" s="13">
        <v>4324.3620144515617</v>
      </c>
      <c r="BK26" s="11">
        <v>0.82842184184895806</v>
      </c>
      <c r="BL26" s="13">
        <v>5569.6298367171867</v>
      </c>
      <c r="BM26" s="11">
        <v>1.8931513274157199</v>
      </c>
    </row>
    <row r="27" spans="1:65" ht="27" customHeight="1">
      <c r="A27" s="4">
        <v>25</v>
      </c>
      <c r="B27" s="7">
        <f t="shared" si="0"/>
        <v>0.63300000000000001</v>
      </c>
      <c r="C27" s="8">
        <v>3</v>
      </c>
      <c r="D27" s="8" t="s">
        <v>74</v>
      </c>
      <c r="E27" s="5" t="s">
        <v>71</v>
      </c>
      <c r="H27" s="5" t="s">
        <v>74</v>
      </c>
      <c r="I27" s="4">
        <v>0.63300000000000001</v>
      </c>
      <c r="J27" s="3" t="s">
        <v>80</v>
      </c>
      <c r="K27" s="5" t="s">
        <v>74</v>
      </c>
      <c r="L27" s="4">
        <v>0.63300000000000001</v>
      </c>
      <c r="M27" s="3" t="s">
        <v>80</v>
      </c>
      <c r="N27" s="6"/>
      <c r="P27">
        <v>42.112585000000003</v>
      </c>
      <c r="Q27">
        <v>-3.4700597000000002</v>
      </c>
      <c r="R27">
        <v>9.39</v>
      </c>
      <c r="S27">
        <v>6.2E-2</v>
      </c>
      <c r="T27" s="10">
        <v>-0.14848517314351309</v>
      </c>
      <c r="U27" s="10">
        <v>-0.1449</v>
      </c>
      <c r="V27" s="10">
        <v>-3.8E-3</v>
      </c>
      <c r="W27" s="10">
        <v>8.2000000000000007E-3</v>
      </c>
      <c r="X27" s="10">
        <v>7.4331036789793525E-2</v>
      </c>
      <c r="Y27" s="10">
        <v>8.2199999999999995E-2</v>
      </c>
      <c r="Z27" s="10">
        <v>-5.3199999999999997E-2</v>
      </c>
      <c r="AA27" s="10">
        <v>4.2900000000000001E-2</v>
      </c>
      <c r="AB27" s="10">
        <v>2.2745640884198122</v>
      </c>
      <c r="AC27" s="10">
        <v>2.29</v>
      </c>
      <c r="AD27" s="10">
        <v>-2.8899999999999999E-2</v>
      </c>
      <c r="AE27" s="10">
        <v>2.7400000000000001E-2</v>
      </c>
      <c r="AF27" s="10">
        <v>116.60803357896241</v>
      </c>
      <c r="AG27" s="10">
        <v>107.9439</v>
      </c>
      <c r="AH27" s="10">
        <v>-10.5541</v>
      </c>
      <c r="AI27" s="10">
        <v>12.1098</v>
      </c>
      <c r="AJ27" s="10">
        <v>0.56885211023913762</v>
      </c>
      <c r="AK27" s="10">
        <v>0.5585</v>
      </c>
      <c r="AL27" s="10">
        <v>-5.2699999999999997E-2</v>
      </c>
      <c r="AM27" s="10">
        <v>6.9800000000000001E-2</v>
      </c>
      <c r="AN27" s="10">
        <v>0.53084363994202444</v>
      </c>
      <c r="AO27" s="10">
        <v>0.54039999999999999</v>
      </c>
      <c r="AP27" s="10">
        <v>-2.9899999999999999E-2</v>
      </c>
      <c r="AQ27" s="10">
        <v>2.5600000000000001E-2</v>
      </c>
      <c r="AR27" s="10">
        <v>4.4034203836126018</v>
      </c>
      <c r="AS27" s="10">
        <v>4.4043999999999999</v>
      </c>
      <c r="AT27" s="10">
        <v>-6.1000000000000004E-3</v>
      </c>
      <c r="AU27" s="10">
        <v>5.5999999999999999E-3</v>
      </c>
      <c r="AV27" s="10">
        <v>0.32605700709880031</v>
      </c>
      <c r="AW27" s="10">
        <v>0.3276</v>
      </c>
      <c r="AX27" s="10">
        <v>-1.5599999999999999E-2</v>
      </c>
      <c r="AY27" s="10">
        <v>1.5800000000000002E-2</v>
      </c>
      <c r="AZ27" s="10">
        <v>0.1565655140119975</v>
      </c>
      <c r="BA27" s="10">
        <v>0.16209999999999999</v>
      </c>
      <c r="BB27" s="10">
        <v>-1.7399999999999999E-2</v>
      </c>
      <c r="BC27" s="10">
        <v>2.4299999999999999E-2</v>
      </c>
      <c r="BD27" s="10">
        <v>0.37393941612387088</v>
      </c>
      <c r="BE27" s="10">
        <v>0.30209999999999998</v>
      </c>
      <c r="BF27" s="10">
        <v>-8.9700000000000002E-2</v>
      </c>
      <c r="BG27" s="10">
        <v>0.1207</v>
      </c>
      <c r="BH27" s="13">
        <v>969.35498046875</v>
      </c>
      <c r="BI27" s="11">
        <v>2.2808352481617651</v>
      </c>
      <c r="BJ27" s="13">
        <v>2667.5433107275112</v>
      </c>
      <c r="BK27" s="11">
        <v>0.76128519141766848</v>
      </c>
      <c r="BL27" s="13">
        <v>3636.8982911962612</v>
      </c>
      <c r="BM27" s="11">
        <v>1.5210602197897169</v>
      </c>
    </row>
    <row r="28" spans="1:65" ht="27" customHeight="1">
      <c r="A28" s="4">
        <v>26</v>
      </c>
      <c r="B28" s="7">
        <f t="shared" si="0"/>
        <v>0.6745000000000001</v>
      </c>
      <c r="C28" s="8">
        <v>3</v>
      </c>
      <c r="D28" s="8" t="s">
        <v>74</v>
      </c>
      <c r="E28" s="5" t="s">
        <v>73</v>
      </c>
      <c r="H28" s="5" t="s">
        <v>74</v>
      </c>
      <c r="I28" s="4">
        <v>0.67500000000000004</v>
      </c>
      <c r="J28" s="3" t="s">
        <v>92</v>
      </c>
      <c r="K28" s="5" t="s">
        <v>76</v>
      </c>
      <c r="L28" s="4">
        <v>0.67400000000000004</v>
      </c>
      <c r="M28" s="3" t="s">
        <v>80</v>
      </c>
      <c r="N28" s="6" t="s">
        <v>96</v>
      </c>
      <c r="O28" s="3" t="s">
        <v>86</v>
      </c>
      <c r="P28">
        <v>42.208146999999997</v>
      </c>
      <c r="Q28">
        <v>-3.5172005999999998</v>
      </c>
      <c r="R28">
        <v>9.9700000000000006</v>
      </c>
      <c r="S28">
        <v>0.05</v>
      </c>
      <c r="T28" s="10">
        <v>-0.1478857458899793</v>
      </c>
      <c r="U28" s="10">
        <v>-0.1452</v>
      </c>
      <c r="V28" s="10">
        <v>-3.5000000000000001E-3</v>
      </c>
      <c r="W28" s="10">
        <v>7.0000000000000001E-3</v>
      </c>
      <c r="X28" s="10">
        <v>0.14029503121644071</v>
      </c>
      <c r="Y28" s="10">
        <v>0.13320000000000001</v>
      </c>
      <c r="Z28" s="10">
        <v>-1.6199999999999999E-2</v>
      </c>
      <c r="AA28" s="10">
        <v>1.14E-2</v>
      </c>
      <c r="AB28" s="10">
        <v>-2.8599368118651869</v>
      </c>
      <c r="AC28" s="10">
        <v>-2.8288000000000002</v>
      </c>
      <c r="AD28" s="10">
        <v>-3.3500000000000002E-2</v>
      </c>
      <c r="AE28" s="10">
        <v>3.8899999999999997E-2</v>
      </c>
      <c r="AF28" s="10">
        <v>251.89207061807261</v>
      </c>
      <c r="AG28" s="10">
        <v>216.00389999999999</v>
      </c>
      <c r="AH28" s="10">
        <v>-14.240600000000001</v>
      </c>
      <c r="AI28" s="10">
        <v>13.218500000000001</v>
      </c>
      <c r="AJ28" s="10">
        <v>0.71926206208311738</v>
      </c>
      <c r="AK28" s="10">
        <v>0.72299999999999998</v>
      </c>
      <c r="AL28" s="10">
        <v>-1.7100000000000001E-2</v>
      </c>
      <c r="AM28" s="10">
        <v>1.61E-2</v>
      </c>
      <c r="AN28" s="10">
        <v>0.68777586162971782</v>
      </c>
      <c r="AO28" s="10">
        <v>0.68810000000000004</v>
      </c>
      <c r="AP28" s="10">
        <v>-8.3000000000000001E-3</v>
      </c>
      <c r="AQ28" s="10">
        <v>9.2999999999999992E-3</v>
      </c>
      <c r="AR28" s="10">
        <v>4.9120706176640478</v>
      </c>
      <c r="AS28" s="10">
        <v>4.9145000000000003</v>
      </c>
      <c r="AT28" s="10">
        <v>-2.7000000000000001E-3</v>
      </c>
      <c r="AU28" s="10">
        <v>2.5999999999999999E-3</v>
      </c>
      <c r="AV28" s="10">
        <v>1.4921083565438529E-2</v>
      </c>
      <c r="AW28" s="10">
        <v>2.7000000000000001E-3</v>
      </c>
      <c r="AX28" s="10">
        <v>-2.1299999999999999E-2</v>
      </c>
      <c r="AY28" s="10">
        <v>1.7399999999999999E-2</v>
      </c>
      <c r="AZ28" s="10">
        <v>0.38076266600554759</v>
      </c>
      <c r="BA28" s="10">
        <v>0.38429999999999997</v>
      </c>
      <c r="BB28" s="10">
        <v>-9.5999999999999992E-3</v>
      </c>
      <c r="BC28" s="10">
        <v>8.8999999999999999E-3</v>
      </c>
      <c r="BD28" s="10">
        <v>0.2734080311988728</v>
      </c>
      <c r="BE28" s="10">
        <v>0.17319999999999999</v>
      </c>
      <c r="BF28" s="10">
        <v>-3.49E-2</v>
      </c>
      <c r="BG28" s="10">
        <v>3.3799999999999997E-2</v>
      </c>
      <c r="BH28" s="13">
        <v>1514.527709960938</v>
      </c>
      <c r="BI28" s="11">
        <v>3.5635946116727939</v>
      </c>
      <c r="BJ28" s="13">
        <v>2712.524676187817</v>
      </c>
      <c r="BK28" s="11">
        <v>0.77412233909469663</v>
      </c>
      <c r="BL28" s="13">
        <v>4227.0523861487554</v>
      </c>
      <c r="BM28" s="11">
        <v>2.168858475383745</v>
      </c>
    </row>
    <row r="29" spans="1:65" ht="27" customHeight="1">
      <c r="A29" s="4">
        <v>27</v>
      </c>
      <c r="B29" s="7">
        <f t="shared" si="0"/>
        <v>0.63</v>
      </c>
      <c r="C29" s="8">
        <v>3</v>
      </c>
      <c r="D29" s="8" t="s">
        <v>93</v>
      </c>
      <c r="E29" s="5" t="s">
        <v>73</v>
      </c>
      <c r="H29" s="5" t="s">
        <v>73</v>
      </c>
      <c r="I29" s="4"/>
      <c r="K29" s="5" t="s">
        <v>74</v>
      </c>
      <c r="L29" s="4">
        <v>0.63</v>
      </c>
      <c r="M29" s="3" t="s">
        <v>80</v>
      </c>
      <c r="N29" s="6"/>
      <c r="P29">
        <v>42.118436000000003</v>
      </c>
      <c r="Q29">
        <v>-3.4782449999999998</v>
      </c>
      <c r="R29">
        <v>9.9239999999999995</v>
      </c>
      <c r="S29">
        <v>2.1999999999999999E-2</v>
      </c>
      <c r="T29" s="10">
        <v>-0.1438418839610669</v>
      </c>
      <c r="U29" s="10">
        <v>-0.1376</v>
      </c>
      <c r="V29" s="10">
        <v>-9.2999999999999992E-3</v>
      </c>
      <c r="W29" s="10">
        <v>1.8700000000000001E-2</v>
      </c>
      <c r="X29" s="10">
        <v>-3.4295364523509488E-2</v>
      </c>
      <c r="Y29" s="10">
        <v>-3.5000000000000003E-2</v>
      </c>
      <c r="Z29" s="10">
        <v>-1.6E-2</v>
      </c>
      <c r="AA29" s="10">
        <v>1.5299999999999999E-2</v>
      </c>
      <c r="AB29" s="10">
        <v>-3.0751966179774368</v>
      </c>
      <c r="AC29" s="10">
        <v>-3.0657999999999999</v>
      </c>
      <c r="AD29" s="10">
        <v>-2.9499999999999998E-2</v>
      </c>
      <c r="AE29" s="10">
        <v>3.04E-2</v>
      </c>
      <c r="AF29" s="10">
        <v>181.3917292924385</v>
      </c>
      <c r="AG29" s="10">
        <v>151.13310000000001</v>
      </c>
      <c r="AH29" s="10">
        <v>-14.365600000000001</v>
      </c>
      <c r="AI29" s="10">
        <v>14.1396</v>
      </c>
      <c r="AJ29" s="10">
        <v>0.59973805306961392</v>
      </c>
      <c r="AK29" s="10">
        <v>0.60570000000000002</v>
      </c>
      <c r="AL29" s="10">
        <v>-1.8800000000000001E-2</v>
      </c>
      <c r="AM29" s="10">
        <v>2.76E-2</v>
      </c>
      <c r="AN29" s="10">
        <v>1.339301253691247</v>
      </c>
      <c r="AO29" s="10">
        <v>1.3279000000000001</v>
      </c>
      <c r="AP29" s="10">
        <v>-3.09E-2</v>
      </c>
      <c r="AQ29" s="10">
        <v>2.5499999999999998E-2</v>
      </c>
      <c r="AR29" s="10">
        <v>4.9677092122660156</v>
      </c>
      <c r="AS29" s="10">
        <v>4.9641999999999999</v>
      </c>
      <c r="AT29" s="10">
        <v>-5.4999999999999997E-3</v>
      </c>
      <c r="AU29" s="10">
        <v>5.4999999999999997E-3</v>
      </c>
      <c r="AV29" s="10">
        <v>-5.0610428261873119E-2</v>
      </c>
      <c r="AW29" s="10">
        <v>-4.2799999999999998E-2</v>
      </c>
      <c r="AX29" s="10">
        <v>-8.8000000000000005E-3</v>
      </c>
      <c r="AY29" s="10">
        <v>8.8000000000000005E-3</v>
      </c>
      <c r="AZ29" s="10">
        <v>7.6992690786821028E-2</v>
      </c>
      <c r="BA29" s="10">
        <v>7.9600000000000004E-2</v>
      </c>
      <c r="BB29" s="10">
        <v>-5.8999999999999999E-3</v>
      </c>
      <c r="BC29" s="10">
        <v>6.1000000000000004E-3</v>
      </c>
      <c r="BD29" s="10">
        <v>0.82865738354282947</v>
      </c>
      <c r="BE29" s="10">
        <v>0.53420000000000001</v>
      </c>
      <c r="BF29" s="10">
        <v>-0.14960000000000001</v>
      </c>
      <c r="BG29" s="10">
        <v>0.15260000000000001</v>
      </c>
      <c r="BH29" s="13">
        <v>402.6876220703125</v>
      </c>
      <c r="BI29" s="11">
        <v>0.94750028722426471</v>
      </c>
      <c r="BJ29" s="13">
        <v>2169.979733688273</v>
      </c>
      <c r="BK29" s="11">
        <v>0.61928645367815993</v>
      </c>
      <c r="BL29" s="13">
        <v>2572.667355758585</v>
      </c>
      <c r="BM29" s="11">
        <v>0.78339337045121238</v>
      </c>
    </row>
    <row r="30" spans="1:65" ht="27" customHeight="1">
      <c r="A30" s="4">
        <v>28</v>
      </c>
      <c r="B30" s="7">
        <f t="shared" si="0"/>
        <v>0.56999999999999995</v>
      </c>
      <c r="C30" s="8">
        <v>3</v>
      </c>
      <c r="D30" s="8" t="s">
        <v>79</v>
      </c>
      <c r="E30" s="5" t="s">
        <v>71</v>
      </c>
      <c r="H30" s="5" t="s">
        <v>76</v>
      </c>
      <c r="I30" s="4">
        <v>0.56999999999999995</v>
      </c>
      <c r="J30" s="3" t="s">
        <v>77</v>
      </c>
      <c r="K30" s="5" t="s">
        <v>76</v>
      </c>
      <c r="L30" s="4">
        <v>0.56999999999999995</v>
      </c>
      <c r="M30" s="3" t="s">
        <v>89</v>
      </c>
      <c r="N30" s="6"/>
      <c r="P30">
        <v>42.198081000000002</v>
      </c>
      <c r="Q30">
        <v>-3.5185422000000002</v>
      </c>
      <c r="R30">
        <v>9.0489999999999995</v>
      </c>
      <c r="S30">
        <v>0.11700000000000001</v>
      </c>
      <c r="T30" s="10">
        <v>2.0664089220184451E-2</v>
      </c>
      <c r="U30" s="10">
        <v>-2.7400000000000001E-2</v>
      </c>
      <c r="V30" s="10">
        <v>-5.3199999999999997E-2</v>
      </c>
      <c r="W30" s="10">
        <v>3.8199999999999998E-2</v>
      </c>
      <c r="X30" s="10">
        <v>7.1949438650493192E-3</v>
      </c>
      <c r="Y30" s="10">
        <v>4.5999999999999999E-3</v>
      </c>
      <c r="Z30" s="10">
        <v>-3.2199999999999999E-2</v>
      </c>
      <c r="AA30" s="10">
        <v>3.9800000000000002E-2</v>
      </c>
      <c r="AB30" s="10">
        <v>-0.25100917132062112</v>
      </c>
      <c r="AC30" s="10">
        <v>-0.1694</v>
      </c>
      <c r="AD30" s="10">
        <v>-0.16009999999999999</v>
      </c>
      <c r="AE30" s="10">
        <v>0.157</v>
      </c>
      <c r="AF30" s="10">
        <v>94.050471573362771</v>
      </c>
      <c r="AG30" s="10">
        <v>77.704999999999998</v>
      </c>
      <c r="AH30" s="10">
        <v>-9.5945</v>
      </c>
      <c r="AI30" s="10">
        <v>11.4262</v>
      </c>
      <c r="AJ30" s="10">
        <v>0.88690828804022781</v>
      </c>
      <c r="AK30" s="10">
        <v>0.81120000000000003</v>
      </c>
      <c r="AL30" s="10">
        <v>-8.8499999999999995E-2</v>
      </c>
      <c r="AM30" s="10">
        <v>6.6699999999999995E-2</v>
      </c>
      <c r="AN30" s="10">
        <v>0.41244912495571928</v>
      </c>
      <c r="AO30" s="10">
        <v>0.42909999999999998</v>
      </c>
      <c r="AP30" s="10">
        <v>-1.7899999999999999E-2</v>
      </c>
      <c r="AQ30" s="10">
        <v>2.47E-2</v>
      </c>
      <c r="AR30" s="10">
        <v>4.4229323385816377</v>
      </c>
      <c r="AS30" s="10">
        <v>4.4255000000000004</v>
      </c>
      <c r="AT30" s="10">
        <v>-5.3E-3</v>
      </c>
      <c r="AU30" s="10">
        <v>5.0000000000000001E-3</v>
      </c>
      <c r="AV30" s="10">
        <v>-0.23106981753749969</v>
      </c>
      <c r="AW30" s="10">
        <v>-0.18229999999999999</v>
      </c>
      <c r="AX30" s="10">
        <v>-8.1199999999999994E-2</v>
      </c>
      <c r="AY30" s="10">
        <v>8.6499999999999994E-2</v>
      </c>
      <c r="AZ30" s="10">
        <v>-0.4612466169643592</v>
      </c>
      <c r="BA30" s="10">
        <v>-0.42809999999999998</v>
      </c>
      <c r="BB30" s="10">
        <v>-4.8000000000000001E-2</v>
      </c>
      <c r="BC30" s="10">
        <v>4.9099999999999998E-2</v>
      </c>
      <c r="BD30" s="10">
        <v>1.5761363635631149E-2</v>
      </c>
      <c r="BE30" s="10">
        <v>4.2900000000000001E-2</v>
      </c>
      <c r="BF30" s="10">
        <v>-2.4500000000000001E-2</v>
      </c>
      <c r="BG30" s="10">
        <v>5.9799999999999999E-2</v>
      </c>
      <c r="BH30" s="13">
        <v>866.21063232421875</v>
      </c>
      <c r="BI30" s="11">
        <v>2.03814266429228</v>
      </c>
      <c r="BJ30" s="13">
        <v>2050.7785800804568</v>
      </c>
      <c r="BK30" s="11">
        <v>0.58526785961200256</v>
      </c>
      <c r="BL30" s="13">
        <v>2916.989212404676</v>
      </c>
      <c r="BM30" s="11">
        <v>1.311705261952141</v>
      </c>
    </row>
    <row r="31" spans="1:65" ht="27" customHeight="1">
      <c r="A31" s="4">
        <v>29</v>
      </c>
      <c r="B31" s="7">
        <f t="shared" si="0"/>
        <v>0.56416666666666659</v>
      </c>
      <c r="C31" s="8">
        <v>3</v>
      </c>
      <c r="D31" s="8" t="s">
        <v>74</v>
      </c>
      <c r="E31" s="5" t="s">
        <v>74</v>
      </c>
      <c r="F31" s="4">
        <v>0.56499999999999995</v>
      </c>
      <c r="G31" s="3" t="s">
        <v>89</v>
      </c>
      <c r="H31" s="5" t="s">
        <v>74</v>
      </c>
      <c r="I31" s="4">
        <v>0.56399999999999995</v>
      </c>
      <c r="J31" s="3" t="s">
        <v>77</v>
      </c>
      <c r="K31" s="5" t="s">
        <v>76</v>
      </c>
      <c r="L31" s="4">
        <v>0.5635</v>
      </c>
      <c r="M31" s="3" t="s">
        <v>77</v>
      </c>
      <c r="N31" s="6"/>
      <c r="O31" s="3" t="s">
        <v>86</v>
      </c>
      <c r="P31">
        <v>42.140825999999997</v>
      </c>
      <c r="Q31">
        <v>-3.4967560999999998</v>
      </c>
      <c r="R31">
        <v>9.9770000000000003</v>
      </c>
      <c r="S31">
        <v>1.4E-2</v>
      </c>
      <c r="T31" s="10">
        <v>-6.329539538421329E-2</v>
      </c>
      <c r="U31" s="10">
        <v>-7.0999999999999994E-2</v>
      </c>
      <c r="V31" s="10">
        <v>-2.4400000000000002E-2</v>
      </c>
      <c r="W31" s="10">
        <v>2.29E-2</v>
      </c>
      <c r="X31" s="10">
        <v>3.5874330183621461E-3</v>
      </c>
      <c r="Y31" s="10">
        <v>8.0999999999999996E-3</v>
      </c>
      <c r="Z31" s="10">
        <v>-3.4799999999999998E-2</v>
      </c>
      <c r="AA31" s="10">
        <v>3.5700000000000003E-2</v>
      </c>
      <c r="AB31" s="10">
        <v>2.6345233023733861</v>
      </c>
      <c r="AC31" s="10">
        <v>2.6417000000000002</v>
      </c>
      <c r="AD31" s="10">
        <v>-1.7100000000000001E-2</v>
      </c>
      <c r="AE31" s="10">
        <v>1.67E-2</v>
      </c>
      <c r="AF31" s="10">
        <v>409.01475310558061</v>
      </c>
      <c r="AG31" s="10">
        <v>384.68299999999999</v>
      </c>
      <c r="AH31" s="10">
        <v>-15.2874</v>
      </c>
      <c r="AI31" s="10">
        <v>15.2324</v>
      </c>
      <c r="AJ31" s="10">
        <v>0.49904253856007569</v>
      </c>
      <c r="AK31" s="10">
        <v>0.49249999999999999</v>
      </c>
      <c r="AL31" s="10">
        <v>-4.3299999999999998E-2</v>
      </c>
      <c r="AM31" s="10">
        <v>4.4299999999999999E-2</v>
      </c>
      <c r="AN31" s="10">
        <v>0.62645818477340565</v>
      </c>
      <c r="AO31" s="10">
        <v>0.63109999999999999</v>
      </c>
      <c r="AP31" s="10">
        <v>-2.53E-2</v>
      </c>
      <c r="AQ31" s="10">
        <v>2.75E-2</v>
      </c>
      <c r="AR31" s="10">
        <v>4.999998204766932</v>
      </c>
      <c r="AS31" s="10">
        <v>5</v>
      </c>
      <c r="AT31" s="10">
        <v>-1E-4</v>
      </c>
      <c r="AU31" s="10">
        <v>0</v>
      </c>
      <c r="AV31" s="10">
        <v>0.33201682959425183</v>
      </c>
      <c r="AW31" s="10">
        <v>0.33389999999999997</v>
      </c>
      <c r="AX31" s="10">
        <v>-5.1999999999999998E-3</v>
      </c>
      <c r="AY31" s="10">
        <v>5.1000000000000004E-3</v>
      </c>
      <c r="AZ31" s="10">
        <v>-2.428682295844764E-2</v>
      </c>
      <c r="BA31" s="10">
        <v>-2.1700000000000001E-2</v>
      </c>
      <c r="BB31" s="10">
        <v>-4.3E-3</v>
      </c>
      <c r="BC31" s="10">
        <v>4.1000000000000003E-3</v>
      </c>
      <c r="BD31" s="10">
        <v>0.88848226917345108</v>
      </c>
      <c r="BE31" s="10">
        <v>0.79820000000000002</v>
      </c>
      <c r="BF31" s="10">
        <v>-7.9299999999999995E-2</v>
      </c>
      <c r="BG31" s="10">
        <v>8.1000000000000003E-2</v>
      </c>
      <c r="BH31" s="13">
        <v>2895.029296875</v>
      </c>
      <c r="BI31" s="11">
        <v>6.7799280957259951</v>
      </c>
      <c r="BJ31" s="13">
        <v>1928.437574736467</v>
      </c>
      <c r="BK31" s="11">
        <v>1.0969497012152829</v>
      </c>
      <c r="BL31" s="13">
        <v>4823.4668716114666</v>
      </c>
      <c r="BM31" s="11">
        <v>3.9384388984706389</v>
      </c>
    </row>
    <row r="32" spans="1:65" ht="27" customHeight="1">
      <c r="A32" s="4">
        <v>30</v>
      </c>
      <c r="B32" s="7">
        <f t="shared" si="0"/>
        <v>0.628</v>
      </c>
      <c r="C32" s="8">
        <v>3</v>
      </c>
      <c r="D32" s="8" t="s">
        <v>74</v>
      </c>
      <c r="E32" s="5" t="s">
        <v>74</v>
      </c>
      <c r="F32" s="4">
        <v>0.628</v>
      </c>
      <c r="G32" s="3" t="s">
        <v>89</v>
      </c>
      <c r="H32" s="5" t="s">
        <v>74</v>
      </c>
      <c r="I32" s="4">
        <v>0.628</v>
      </c>
      <c r="J32" s="3" t="s">
        <v>75</v>
      </c>
      <c r="K32" s="5" t="s">
        <v>74</v>
      </c>
      <c r="L32" s="4">
        <v>0.628</v>
      </c>
      <c r="M32" s="3" t="s">
        <v>75</v>
      </c>
      <c r="N32" s="6"/>
      <c r="O32" s="3" t="s">
        <v>92</v>
      </c>
      <c r="P32">
        <v>42.122515</v>
      </c>
      <c r="Q32">
        <v>-3.4913542999999998</v>
      </c>
      <c r="R32">
        <v>9.5760000000000005</v>
      </c>
      <c r="S32">
        <v>0.111</v>
      </c>
      <c r="T32" s="10">
        <v>0.14535137232618289</v>
      </c>
      <c r="U32" s="10">
        <v>0.13800000000000001</v>
      </c>
      <c r="V32" s="10">
        <v>-1.66E-2</v>
      </c>
      <c r="W32" s="10">
        <v>8.9999999999999993E-3</v>
      </c>
      <c r="X32" s="10">
        <v>-0.14978713914972391</v>
      </c>
      <c r="Y32" s="10">
        <v>-0.14680000000000001</v>
      </c>
      <c r="Z32" s="10">
        <v>-2.3E-3</v>
      </c>
      <c r="AA32" s="10">
        <v>4.7999999999999996E-3</v>
      </c>
      <c r="AB32" s="10">
        <v>-1.590417720984846</v>
      </c>
      <c r="AC32" s="10">
        <v>-1.5730999999999999</v>
      </c>
      <c r="AD32" s="10">
        <v>-3.2800000000000003E-2</v>
      </c>
      <c r="AE32" s="10">
        <v>3.1899999999999998E-2</v>
      </c>
      <c r="AF32" s="10">
        <v>153.58676609493341</v>
      </c>
      <c r="AG32" s="10">
        <v>136.92830000000001</v>
      </c>
      <c r="AH32" s="10">
        <v>-12.535399999999999</v>
      </c>
      <c r="AI32" s="10">
        <v>12.5124</v>
      </c>
      <c r="AJ32" s="10">
        <v>0.76720391734368776</v>
      </c>
      <c r="AK32" s="10">
        <v>0.77170000000000005</v>
      </c>
      <c r="AL32" s="10">
        <v>-2.0899999999999998E-2</v>
      </c>
      <c r="AM32" s="10">
        <v>2.93E-2</v>
      </c>
      <c r="AN32" s="10">
        <v>0.87622254629657004</v>
      </c>
      <c r="AO32" s="10">
        <v>0.87170000000000003</v>
      </c>
      <c r="AP32" s="10">
        <v>-1.7000000000000001E-2</v>
      </c>
      <c r="AQ32" s="10">
        <v>1.5699999999999999E-2</v>
      </c>
      <c r="AR32" s="10">
        <v>4.6897007444464087</v>
      </c>
      <c r="AS32" s="10">
        <v>4.6932</v>
      </c>
      <c r="AT32" s="10">
        <v>-4.7000000000000002E-3</v>
      </c>
      <c r="AU32" s="10">
        <v>4.5999999999999999E-3</v>
      </c>
      <c r="AV32" s="10">
        <v>-0.16432189182029891</v>
      </c>
      <c r="AW32" s="10">
        <v>-0.15989999999999999</v>
      </c>
      <c r="AX32" s="10">
        <v>-9.4999999999999998E-3</v>
      </c>
      <c r="AY32" s="10">
        <v>9.1000000000000004E-3</v>
      </c>
      <c r="AZ32" s="10">
        <v>8.358859518448436E-2</v>
      </c>
      <c r="BA32" s="10">
        <v>8.3900000000000002E-2</v>
      </c>
      <c r="BB32" s="10">
        <v>-8.9999999999999993E-3</v>
      </c>
      <c r="BC32" s="10">
        <v>9.4999999999999998E-3</v>
      </c>
      <c r="BD32" s="10">
        <v>1.489987004801973</v>
      </c>
      <c r="BE32" s="10">
        <v>1.2097</v>
      </c>
      <c r="BF32" s="10">
        <v>-0.17829999999999999</v>
      </c>
      <c r="BG32" s="10">
        <v>0.19520000000000001</v>
      </c>
      <c r="BH32" s="13">
        <v>977.8173828125</v>
      </c>
      <c r="BI32" s="11">
        <v>2.3007467830882349</v>
      </c>
      <c r="BJ32" s="13">
        <v>4556.3385718652153</v>
      </c>
      <c r="BK32" s="11">
        <v>1.300324934893041</v>
      </c>
      <c r="BL32" s="13">
        <v>5534.1559546777153</v>
      </c>
      <c r="BM32" s="11">
        <v>1.8005358589906379</v>
      </c>
    </row>
    <row r="33" spans="1:65" ht="27" customHeight="1">
      <c r="A33" s="4">
        <v>31</v>
      </c>
      <c r="B33" s="7" t="str">
        <f t="shared" si="0"/>
        <v/>
      </c>
      <c r="C33" s="8"/>
      <c r="D33" s="8" t="s">
        <v>97</v>
      </c>
      <c r="E33" s="5" t="s">
        <v>98</v>
      </c>
      <c r="H33" s="5" t="s">
        <v>98</v>
      </c>
      <c r="I33" s="4"/>
      <c r="K33" s="5" t="s">
        <v>98</v>
      </c>
      <c r="N33" s="6"/>
      <c r="P33">
        <v>42.093127000000003</v>
      </c>
      <c r="Q33">
        <v>-3.4805345000000001</v>
      </c>
    </row>
    <row r="34" spans="1:65" ht="27" customHeight="1">
      <c r="A34" s="4">
        <v>32</v>
      </c>
      <c r="B34" s="7">
        <f t="shared" si="0"/>
        <v>1.09975</v>
      </c>
      <c r="C34" s="8">
        <v>2</v>
      </c>
      <c r="D34" s="8" t="s">
        <v>79</v>
      </c>
      <c r="E34" s="5" t="s">
        <v>71</v>
      </c>
      <c r="H34" s="5" t="s">
        <v>76</v>
      </c>
      <c r="I34" s="4">
        <v>1.1000000000000001</v>
      </c>
      <c r="J34" s="3" t="s">
        <v>90</v>
      </c>
      <c r="K34" s="5" t="s">
        <v>76</v>
      </c>
      <c r="L34" s="4">
        <v>1.0994999999999999</v>
      </c>
      <c r="M34" s="3" t="s">
        <v>90</v>
      </c>
      <c r="N34" s="6"/>
      <c r="P34">
        <v>42.134115000000001</v>
      </c>
      <c r="Q34">
        <v>-3.5044585000000001</v>
      </c>
      <c r="R34">
        <v>9.6280000000000001</v>
      </c>
      <c r="S34">
        <v>0.16700000000000001</v>
      </c>
      <c r="T34" s="10">
        <v>-0.1341632156680013</v>
      </c>
      <c r="U34" s="10">
        <v>-6.0900000000000003E-2</v>
      </c>
      <c r="V34" s="10">
        <v>-5.57E-2</v>
      </c>
      <c r="W34" s="10">
        <v>6.4799999999999996E-2</v>
      </c>
      <c r="X34" s="10">
        <v>2.212404177516392E-2</v>
      </c>
      <c r="Y34" s="10">
        <v>1.4E-3</v>
      </c>
      <c r="Z34" s="10">
        <v>-2.5999999999999999E-2</v>
      </c>
      <c r="AA34" s="10">
        <v>3.4099999999999998E-2</v>
      </c>
      <c r="AB34" s="10">
        <v>3.112763676566086</v>
      </c>
      <c r="AC34" s="10">
        <v>3.0897000000000001</v>
      </c>
      <c r="AD34" s="10">
        <v>-6.4100000000000004E-2</v>
      </c>
      <c r="AE34" s="10">
        <v>3.6700000000000003E-2</v>
      </c>
      <c r="AF34" s="10">
        <v>261.61199094422813</v>
      </c>
      <c r="AG34" s="10">
        <v>169.80240000000001</v>
      </c>
      <c r="AH34" s="10">
        <v>-20.1736</v>
      </c>
      <c r="AI34" s="10">
        <v>20.0047</v>
      </c>
      <c r="AJ34" s="10">
        <v>0.48859043622203768</v>
      </c>
      <c r="AK34" s="10">
        <v>0.57420000000000004</v>
      </c>
      <c r="AL34" s="10">
        <v>-6.3100000000000003E-2</v>
      </c>
      <c r="AM34" s="10">
        <v>8.2400000000000001E-2</v>
      </c>
      <c r="AN34" s="10">
        <v>0.51518238757570511</v>
      </c>
      <c r="AO34" s="10">
        <v>0.47349999999999998</v>
      </c>
      <c r="AP34" s="10">
        <v>-3.1E-2</v>
      </c>
      <c r="AQ34" s="10">
        <v>3.0300000000000001E-2</v>
      </c>
      <c r="AR34" s="10">
        <v>4.1556969204520389</v>
      </c>
      <c r="AS34" s="10">
        <v>4.1534000000000004</v>
      </c>
      <c r="AT34" s="10">
        <v>-8.5000000000000006E-3</v>
      </c>
      <c r="AU34" s="10">
        <v>8.8999999999999999E-3</v>
      </c>
      <c r="AV34" s="10">
        <v>3.6969856184765781E-2</v>
      </c>
      <c r="AW34" s="10">
        <v>4.5100000000000001E-2</v>
      </c>
      <c r="AX34" s="10">
        <v>-2.81E-2</v>
      </c>
      <c r="AY34" s="10">
        <v>0.04</v>
      </c>
      <c r="AZ34" s="10">
        <v>0.33609238065266589</v>
      </c>
      <c r="BA34" s="10">
        <v>0.39360000000000001</v>
      </c>
      <c r="BB34" s="10">
        <v>-4.3799999999999999E-2</v>
      </c>
      <c r="BC34" s="10">
        <v>5.4199999999999998E-2</v>
      </c>
      <c r="BD34" s="10">
        <v>0.81968158156211435</v>
      </c>
      <c r="BE34" s="10">
        <v>0.34079999999999999</v>
      </c>
      <c r="BF34" s="10">
        <v>-0.1016</v>
      </c>
      <c r="BG34" s="10">
        <v>0.1085</v>
      </c>
      <c r="BH34" s="13">
        <v>1755.79736328125</v>
      </c>
      <c r="BI34" s="11">
        <v>4.1312879136029412</v>
      </c>
      <c r="BJ34" s="13">
        <v>884.4987572082423</v>
      </c>
      <c r="BK34" s="11">
        <v>0.50485088881748985</v>
      </c>
      <c r="BL34" s="13">
        <v>2640.2961204894918</v>
      </c>
      <c r="BM34" s="11">
        <v>2.3180694012102161</v>
      </c>
    </row>
    <row r="35" spans="1:65" ht="27" customHeight="1">
      <c r="A35" s="4">
        <v>33</v>
      </c>
      <c r="B35" s="7">
        <f t="shared" ref="B35:B66" si="1">IFERROR(AVERAGE(F35,L35,I35),"")</f>
        <v>0.68400000000000005</v>
      </c>
      <c r="C35" s="8">
        <v>3</v>
      </c>
      <c r="D35" s="8" t="s">
        <v>79</v>
      </c>
      <c r="E35" s="5" t="s">
        <v>71</v>
      </c>
      <c r="H35" s="5" t="s">
        <v>76</v>
      </c>
      <c r="I35" s="4">
        <v>0.68400000000000005</v>
      </c>
      <c r="J35" s="3" t="s">
        <v>80</v>
      </c>
      <c r="K35" s="5" t="s">
        <v>76</v>
      </c>
      <c r="L35" s="4">
        <v>0.68400000000000005</v>
      </c>
      <c r="M35" s="3" t="s">
        <v>80</v>
      </c>
      <c r="N35" s="6"/>
      <c r="O35" s="3" t="s">
        <v>89</v>
      </c>
      <c r="P35">
        <v>42.161349999999999</v>
      </c>
      <c r="Q35">
        <v>-3.5207899999999999</v>
      </c>
      <c r="R35">
        <v>9.8879999999999999</v>
      </c>
      <c r="S35">
        <v>6.0999999999999999E-2</v>
      </c>
      <c r="T35" s="10">
        <v>-0.14964775281490611</v>
      </c>
      <c r="U35" s="10">
        <v>-0.1181</v>
      </c>
      <c r="V35" s="10">
        <v>-1.7299999999999999E-2</v>
      </c>
      <c r="W35" s="10">
        <v>2.23E-2</v>
      </c>
      <c r="X35" s="10">
        <v>-8.3566871123221115E-2</v>
      </c>
      <c r="Y35" s="10">
        <v>-8.8800000000000004E-2</v>
      </c>
      <c r="Z35" s="10">
        <v>-1.8599999999999998E-2</v>
      </c>
      <c r="AA35" s="10">
        <v>1.7500000000000002E-2</v>
      </c>
      <c r="AB35" s="10">
        <v>-2.926228616018681</v>
      </c>
      <c r="AC35" s="10">
        <v>-2.0323000000000002</v>
      </c>
      <c r="AD35" s="10">
        <v>-0.38159999999999999</v>
      </c>
      <c r="AE35" s="10">
        <v>0.36899999999999999</v>
      </c>
      <c r="AF35" s="10">
        <v>157.26679802713559</v>
      </c>
      <c r="AG35" s="10">
        <v>130.48949999999999</v>
      </c>
      <c r="AH35" s="10">
        <v>-15.990500000000001</v>
      </c>
      <c r="AI35" s="10">
        <v>18.266300000000001</v>
      </c>
      <c r="AJ35" s="10">
        <v>0.94684162472037692</v>
      </c>
      <c r="AK35" s="10">
        <v>0.94399999999999995</v>
      </c>
      <c r="AL35" s="10">
        <v>-4.1099999999999998E-2</v>
      </c>
      <c r="AM35" s="10">
        <v>2.4199999999999999E-2</v>
      </c>
      <c r="AN35" s="10">
        <v>0.61457104781290695</v>
      </c>
      <c r="AO35" s="10">
        <v>0.62060000000000004</v>
      </c>
      <c r="AP35" s="10">
        <v>-1.06E-2</v>
      </c>
      <c r="AQ35" s="10">
        <v>1.47E-2</v>
      </c>
      <c r="AR35" s="10">
        <v>4.7118885803977477</v>
      </c>
      <c r="AS35" s="10">
        <v>4.7123999999999997</v>
      </c>
      <c r="AT35" s="10">
        <v>-3.8999999999999998E-3</v>
      </c>
      <c r="AU35" s="10">
        <v>4.0000000000000001E-3</v>
      </c>
      <c r="AV35" s="10">
        <v>-7.1889642131984344E-2</v>
      </c>
      <c r="AW35" s="10">
        <v>-0.15110000000000001</v>
      </c>
      <c r="AX35" s="10">
        <v>-1.0200000000000001E-2</v>
      </c>
      <c r="AY35" s="10">
        <v>1.89E-2</v>
      </c>
      <c r="AZ35" s="10">
        <v>0.1345887528166558</v>
      </c>
      <c r="BA35" s="10">
        <v>2.6599999999999999E-2</v>
      </c>
      <c r="BB35" s="10">
        <v>-5.3999999999999999E-2</v>
      </c>
      <c r="BC35" s="10">
        <v>5.5E-2</v>
      </c>
      <c r="BD35" s="10">
        <v>1.682679359102034E-2</v>
      </c>
      <c r="BE35" s="10">
        <v>0.35399999999999998</v>
      </c>
      <c r="BF35" s="10">
        <v>-0.26279999999999998</v>
      </c>
      <c r="BG35" s="10">
        <v>0.44219999999999998</v>
      </c>
      <c r="BH35" s="13">
        <v>1084.128051757812</v>
      </c>
      <c r="BI35" s="11">
        <v>2.5271050157524768</v>
      </c>
      <c r="BJ35" s="13">
        <v>1111.4872032436199</v>
      </c>
      <c r="BK35" s="11">
        <v>0.63009478641928585</v>
      </c>
      <c r="BL35" s="13">
        <v>2195.6152550014331</v>
      </c>
      <c r="BM35" s="11">
        <v>1.5785999010858811</v>
      </c>
    </row>
    <row r="36" spans="1:65" ht="27" customHeight="1">
      <c r="A36" s="4">
        <v>34</v>
      </c>
      <c r="B36" s="7">
        <f t="shared" si="1"/>
        <v>0.65683333333333327</v>
      </c>
      <c r="C36" s="8">
        <v>3</v>
      </c>
      <c r="D36" s="8" t="s">
        <v>74</v>
      </c>
      <c r="E36" s="5" t="s">
        <v>76</v>
      </c>
      <c r="F36" s="4">
        <v>0.65700000000000003</v>
      </c>
      <c r="G36" s="3" t="s">
        <v>89</v>
      </c>
      <c r="H36" s="5" t="s">
        <v>74</v>
      </c>
      <c r="I36" s="4">
        <v>0.65700000000000003</v>
      </c>
      <c r="J36" s="3" t="s">
        <v>75</v>
      </c>
      <c r="K36" s="5" t="s">
        <v>74</v>
      </c>
      <c r="L36" s="4">
        <v>0.65649999999999997</v>
      </c>
      <c r="M36" s="3" t="s">
        <v>75</v>
      </c>
      <c r="N36" s="6"/>
      <c r="P36">
        <v>42.107534999999999</v>
      </c>
      <c r="Q36">
        <v>-3.4995786</v>
      </c>
    </row>
    <row r="37" spans="1:65" ht="27" customHeight="1">
      <c r="A37" s="4">
        <v>35</v>
      </c>
      <c r="B37" s="7">
        <f t="shared" si="1"/>
        <v>0.65649999999999997</v>
      </c>
      <c r="C37" s="8">
        <v>3</v>
      </c>
      <c r="D37" s="8" t="s">
        <v>79</v>
      </c>
      <c r="E37" s="5" t="s">
        <v>74</v>
      </c>
      <c r="F37" s="4">
        <v>0.65500000000000003</v>
      </c>
      <c r="G37" s="3" t="s">
        <v>80</v>
      </c>
      <c r="H37" s="5" t="s">
        <v>76</v>
      </c>
      <c r="I37" s="4">
        <v>0.65700000000000003</v>
      </c>
      <c r="J37" s="3" t="s">
        <v>80</v>
      </c>
      <c r="K37" s="5" t="s">
        <v>76</v>
      </c>
      <c r="L37" s="4">
        <v>0.65749999999999997</v>
      </c>
      <c r="M37" s="3" t="s">
        <v>92</v>
      </c>
      <c r="N37" s="6" t="s">
        <v>99</v>
      </c>
      <c r="P37">
        <v>42.106012999999997</v>
      </c>
      <c r="Q37">
        <v>-3.5026082999999999</v>
      </c>
      <c r="R37">
        <v>9.9359999999999999</v>
      </c>
      <c r="S37">
        <v>5.0000000000000001E-3</v>
      </c>
      <c r="T37" s="10">
        <v>4.2527629804970879E-2</v>
      </c>
      <c r="U37" s="10">
        <v>7.7999999999999996E-3</v>
      </c>
      <c r="V37" s="10">
        <v>-3.7699999999999997E-2</v>
      </c>
      <c r="W37" s="10">
        <v>3.5000000000000003E-2</v>
      </c>
      <c r="X37" s="10">
        <v>-0.1420431617870401</v>
      </c>
      <c r="Y37" s="10">
        <v>-0.11169999999999999</v>
      </c>
      <c r="Z37" s="10">
        <v>-2.8299999999999999E-2</v>
      </c>
      <c r="AA37" s="10">
        <v>5.2299999999999999E-2</v>
      </c>
      <c r="AB37" s="10">
        <v>-0.77437348573211695</v>
      </c>
      <c r="AC37" s="10">
        <v>-0.71030000000000004</v>
      </c>
      <c r="AD37" s="10">
        <v>-6.3700000000000007E-2</v>
      </c>
      <c r="AE37" s="10">
        <v>6.3299999999999995E-2</v>
      </c>
      <c r="AF37" s="10">
        <v>97.44687107128938</v>
      </c>
      <c r="AG37" s="10">
        <v>107.4736</v>
      </c>
      <c r="AH37" s="10">
        <v>-8.7171000000000003</v>
      </c>
      <c r="AI37" s="10">
        <v>26.821999999999999</v>
      </c>
      <c r="AJ37" s="10">
        <v>0.54342152818695255</v>
      </c>
      <c r="AK37" s="10">
        <v>0.4975</v>
      </c>
      <c r="AL37" s="10">
        <v>-5.4899999999999997E-2</v>
      </c>
      <c r="AM37" s="10">
        <v>3.3700000000000001E-2</v>
      </c>
      <c r="AN37" s="10">
        <v>0.76789178161115723</v>
      </c>
      <c r="AO37" s="10">
        <v>0.79490000000000005</v>
      </c>
      <c r="AP37" s="10">
        <v>-2.3300000000000001E-2</v>
      </c>
      <c r="AQ37" s="10">
        <v>4.3799999999999999E-2</v>
      </c>
      <c r="AR37" s="10">
        <v>4.9131435970639323</v>
      </c>
      <c r="AS37" s="10">
        <v>4.9118000000000004</v>
      </c>
      <c r="AT37" s="10">
        <v>-2.8E-3</v>
      </c>
      <c r="AU37" s="10">
        <v>2.7000000000000001E-3</v>
      </c>
      <c r="AV37" s="10">
        <v>-0.23775642289800911</v>
      </c>
      <c r="AW37" s="10">
        <v>-0.21440000000000001</v>
      </c>
      <c r="AX37" s="10">
        <v>-2.3400000000000001E-2</v>
      </c>
      <c r="AY37" s="10">
        <v>2.3400000000000001E-2</v>
      </c>
      <c r="AZ37" s="10">
        <v>-0.25013444148304748</v>
      </c>
      <c r="BA37" s="10">
        <v>-0.2414</v>
      </c>
      <c r="BB37" s="10">
        <v>-1.5100000000000001E-2</v>
      </c>
      <c r="BC37" s="10">
        <v>2.4199999999999999E-2</v>
      </c>
      <c r="BD37" s="10">
        <v>2.80328461895589E-2</v>
      </c>
      <c r="BE37" s="10">
        <v>0.1011</v>
      </c>
      <c r="BF37" s="10">
        <v>-6.3399999999999998E-2</v>
      </c>
      <c r="BG37" s="10">
        <v>0.42030000000000001</v>
      </c>
      <c r="BH37" s="13">
        <v>1345.340209960938</v>
      </c>
      <c r="BI37" s="11">
        <v>3.1655063763786759</v>
      </c>
      <c r="BJ37" s="13">
        <v>3067.8794415985321</v>
      </c>
      <c r="BK37" s="11">
        <v>0.87553637031921572</v>
      </c>
      <c r="BL37" s="13">
        <v>4413.2196515594696</v>
      </c>
      <c r="BM37" s="11">
        <v>2.020521373348946</v>
      </c>
    </row>
    <row r="38" spans="1:65" ht="27" customHeight="1">
      <c r="A38" s="4">
        <v>36</v>
      </c>
      <c r="B38" s="7">
        <f t="shared" si="1"/>
        <v>0.52800000000000002</v>
      </c>
      <c r="C38" s="8">
        <v>3</v>
      </c>
      <c r="D38" s="8" t="s">
        <v>93</v>
      </c>
      <c r="E38" s="5" t="s">
        <v>73</v>
      </c>
      <c r="H38" s="5" t="s">
        <v>74</v>
      </c>
      <c r="I38" s="4">
        <v>0.52800000000000002</v>
      </c>
      <c r="J38" s="3" t="s">
        <v>80</v>
      </c>
      <c r="K38" s="5" t="s">
        <v>73</v>
      </c>
      <c r="N38" s="6"/>
      <c r="P38">
        <v>42.143129000000002</v>
      </c>
      <c r="Q38">
        <v>-3.5236084000000001</v>
      </c>
      <c r="R38">
        <v>9.5640000000000001</v>
      </c>
      <c r="S38">
        <v>5.7000000000000002E-2</v>
      </c>
      <c r="T38" s="10">
        <v>-7.5696992058563187E-2</v>
      </c>
      <c r="U38" s="10">
        <v>-9.69E-2</v>
      </c>
      <c r="V38" s="10">
        <v>-3.2500000000000001E-2</v>
      </c>
      <c r="W38" s="10">
        <v>3.44E-2</v>
      </c>
      <c r="X38" s="10">
        <v>-2.3970560303637201E-3</v>
      </c>
      <c r="Y38" s="10">
        <v>1.72E-2</v>
      </c>
      <c r="Z38" s="10">
        <v>-2.0500000000000001E-2</v>
      </c>
      <c r="AA38" s="10">
        <v>2.41E-2</v>
      </c>
      <c r="AB38" s="10">
        <v>3.0538860140220381</v>
      </c>
      <c r="AC38" s="10">
        <v>3.0121000000000002</v>
      </c>
      <c r="AD38" s="10">
        <v>-6.1400000000000003E-2</v>
      </c>
      <c r="AE38" s="10">
        <v>5.8500000000000003E-2</v>
      </c>
      <c r="AF38" s="10">
        <v>159.32576679330739</v>
      </c>
      <c r="AG38" s="10">
        <v>137.70140000000001</v>
      </c>
      <c r="AH38" s="10">
        <v>-12.459300000000001</v>
      </c>
      <c r="AI38" s="10">
        <v>12.924099999999999</v>
      </c>
      <c r="AJ38" s="10">
        <v>0.74122045068955977</v>
      </c>
      <c r="AK38" s="10">
        <v>0.7056</v>
      </c>
      <c r="AL38" s="10">
        <v>-4.6199999999999998E-2</v>
      </c>
      <c r="AM38" s="10">
        <v>5.2600000000000001E-2</v>
      </c>
      <c r="AN38" s="10">
        <v>0.42908216108134012</v>
      </c>
      <c r="AO38" s="10">
        <v>0.43730000000000002</v>
      </c>
      <c r="AP38" s="10">
        <v>-1.54E-2</v>
      </c>
      <c r="AQ38" s="10">
        <v>1.5100000000000001E-2</v>
      </c>
      <c r="AR38" s="10">
        <v>4.6763836413890223</v>
      </c>
      <c r="AS38" s="10">
        <v>4.6773999999999996</v>
      </c>
      <c r="AT38" s="10">
        <v>-3.3E-3</v>
      </c>
      <c r="AU38" s="10">
        <v>3.0999999999999999E-3</v>
      </c>
      <c r="AV38" s="10">
        <v>0.22654322578933231</v>
      </c>
      <c r="AW38" s="10">
        <v>0.25530000000000003</v>
      </c>
      <c r="AX38" s="10">
        <v>-3.2099999999999997E-2</v>
      </c>
      <c r="AY38" s="10">
        <v>3.2199999999999999E-2</v>
      </c>
      <c r="AZ38" s="10">
        <v>0.40220320775775181</v>
      </c>
      <c r="BA38" s="10">
        <v>0.37780000000000002</v>
      </c>
      <c r="BB38" s="10">
        <v>-2.69E-2</v>
      </c>
      <c r="BC38" s="10">
        <v>2.9899999999999999E-2</v>
      </c>
      <c r="BD38" s="10">
        <v>0.18397935649369809</v>
      </c>
      <c r="BE38" s="10">
        <v>0.1482</v>
      </c>
      <c r="BF38" s="10">
        <v>-5.57E-2</v>
      </c>
      <c r="BG38" s="10">
        <v>6.0900000000000003E-2</v>
      </c>
      <c r="BH38" s="13">
        <v>1030.239379882812</v>
      </c>
      <c r="BI38" s="11">
        <v>2.424092658547794</v>
      </c>
      <c r="BJ38" s="13">
        <v>2033.919697622923</v>
      </c>
      <c r="BK38" s="11">
        <v>0.58045653470973835</v>
      </c>
      <c r="BL38" s="13">
        <v>3064.1590775057361</v>
      </c>
      <c r="BM38" s="11">
        <v>1.5022745966287661</v>
      </c>
    </row>
    <row r="39" spans="1:65" ht="27" customHeight="1">
      <c r="A39" s="4">
        <v>37</v>
      </c>
      <c r="B39" s="7" t="str">
        <f t="shared" si="1"/>
        <v/>
      </c>
      <c r="C39" s="8"/>
      <c r="D39" s="8" t="s">
        <v>72</v>
      </c>
      <c r="E39" s="5" t="s">
        <v>73</v>
      </c>
      <c r="H39" s="5" t="s">
        <v>73</v>
      </c>
      <c r="I39" s="4"/>
      <c r="K39" s="5" t="s">
        <v>73</v>
      </c>
      <c r="N39" s="6"/>
      <c r="P39">
        <v>42.118264000000003</v>
      </c>
      <c r="Q39">
        <v>-3.5148115</v>
      </c>
    </row>
    <row r="40" spans="1:65" ht="27" customHeight="1">
      <c r="A40" s="4">
        <v>38</v>
      </c>
      <c r="B40" s="7" t="str">
        <f t="shared" si="1"/>
        <v/>
      </c>
      <c r="C40" s="8"/>
      <c r="D40" s="8" t="s">
        <v>72</v>
      </c>
      <c r="E40" s="5" t="s">
        <v>73</v>
      </c>
      <c r="H40" s="5" t="s">
        <v>73</v>
      </c>
      <c r="I40" s="4"/>
      <c r="K40" s="5" t="s">
        <v>73</v>
      </c>
      <c r="N40" s="6"/>
      <c r="P40">
        <v>42.116042999999998</v>
      </c>
      <c r="Q40">
        <v>-3.5170309</v>
      </c>
    </row>
    <row r="41" spans="1:65" ht="27" customHeight="1">
      <c r="A41" s="4">
        <v>39</v>
      </c>
      <c r="B41" s="7">
        <f t="shared" si="1"/>
        <v>0.56649999999999989</v>
      </c>
      <c r="C41" s="8">
        <v>3</v>
      </c>
      <c r="D41" s="8" t="s">
        <v>74</v>
      </c>
      <c r="E41" s="5" t="s">
        <v>76</v>
      </c>
      <c r="F41" s="4">
        <v>0.56599999999999995</v>
      </c>
      <c r="G41" s="3" t="s">
        <v>89</v>
      </c>
      <c r="H41" s="5" t="s">
        <v>74</v>
      </c>
      <c r="I41" s="4">
        <v>0.56699999999999995</v>
      </c>
      <c r="J41" s="3" t="s">
        <v>75</v>
      </c>
      <c r="K41" s="5" t="s">
        <v>74</v>
      </c>
      <c r="L41" s="4">
        <v>0.5665</v>
      </c>
      <c r="M41" s="3" t="s">
        <v>80</v>
      </c>
      <c r="N41" s="6"/>
      <c r="P41">
        <v>42.090057000000002</v>
      </c>
      <c r="Q41">
        <v>-3.5078301000000001</v>
      </c>
      <c r="R41">
        <v>9.3070000000000004</v>
      </c>
      <c r="S41">
        <v>9.9000000000000005E-2</v>
      </c>
      <c r="T41" s="10">
        <v>-0.14756703951301969</v>
      </c>
      <c r="U41" s="10">
        <v>-0.14499999999999999</v>
      </c>
      <c r="V41" s="10">
        <v>-3.7000000000000002E-3</v>
      </c>
      <c r="W41" s="10">
        <v>7.4999999999999997E-3</v>
      </c>
      <c r="X41" s="10">
        <v>0.1090324024600165</v>
      </c>
      <c r="Y41" s="10">
        <v>6.9199999999999998E-2</v>
      </c>
      <c r="Z41" s="10">
        <v>-4.58E-2</v>
      </c>
      <c r="AA41" s="10">
        <v>2.87E-2</v>
      </c>
      <c r="AB41" s="10">
        <v>0.58617957969854828</v>
      </c>
      <c r="AC41" s="10">
        <v>0.65410000000000001</v>
      </c>
      <c r="AD41" s="10">
        <v>-5.0900000000000001E-2</v>
      </c>
      <c r="AE41" s="10">
        <v>4.82E-2</v>
      </c>
      <c r="AF41" s="10">
        <v>132.9539379677781</v>
      </c>
      <c r="AG41" s="10">
        <v>117.7195</v>
      </c>
      <c r="AH41" s="10">
        <v>-13.7484</v>
      </c>
      <c r="AI41" s="10">
        <v>12.4671</v>
      </c>
      <c r="AJ41" s="10">
        <v>0.82438197921138279</v>
      </c>
      <c r="AK41" s="10">
        <v>0.77059999999999995</v>
      </c>
      <c r="AL41" s="10">
        <v>-6.83E-2</v>
      </c>
      <c r="AM41" s="10">
        <v>4.2999999999999997E-2</v>
      </c>
      <c r="AN41" s="10">
        <v>0.58604366426829158</v>
      </c>
      <c r="AO41" s="10">
        <v>0.60429999999999995</v>
      </c>
      <c r="AP41" s="10">
        <v>-1.7600000000000001E-2</v>
      </c>
      <c r="AQ41" s="10">
        <v>2.76E-2</v>
      </c>
      <c r="AR41" s="10">
        <v>4.6495459780178114</v>
      </c>
      <c r="AS41" s="10">
        <v>4.6473000000000004</v>
      </c>
      <c r="AT41" s="10">
        <v>-4.0000000000000001E-3</v>
      </c>
      <c r="AU41" s="10">
        <v>4.1000000000000003E-3</v>
      </c>
      <c r="AV41" s="10">
        <v>2.4666665038148631E-2</v>
      </c>
      <c r="AW41" s="10">
        <v>6.1600000000000002E-2</v>
      </c>
      <c r="AX41" s="10">
        <v>-2.53E-2</v>
      </c>
      <c r="AY41" s="10">
        <v>2.46E-2</v>
      </c>
      <c r="AZ41" s="10">
        <v>-0.40184279900518383</v>
      </c>
      <c r="BA41" s="10">
        <v>-0.37359999999999999</v>
      </c>
      <c r="BB41" s="10">
        <v>-2.4199999999999999E-2</v>
      </c>
      <c r="BC41" s="10">
        <v>3.4799999999999998E-2</v>
      </c>
      <c r="BD41" s="10">
        <v>1.127208487966243E-2</v>
      </c>
      <c r="BE41" s="10">
        <v>1.6500000000000001E-2</v>
      </c>
      <c r="BF41" s="10">
        <v>-4.8999999999999998E-3</v>
      </c>
      <c r="BG41" s="10">
        <v>1.0999999999999999E-2</v>
      </c>
      <c r="BH41" s="13">
        <v>816.60614013671875</v>
      </c>
      <c r="BI41" s="11">
        <v>2.0415153503417969</v>
      </c>
      <c r="BJ41" s="13">
        <v>3836.1651332669021</v>
      </c>
      <c r="BK41" s="11">
        <v>0.73489753510860178</v>
      </c>
      <c r="BL41" s="13">
        <v>4652.7712734036204</v>
      </c>
      <c r="BM41" s="11">
        <v>1.388206442725199</v>
      </c>
    </row>
    <row r="42" spans="1:65" ht="27" customHeight="1">
      <c r="A42" s="4">
        <v>40</v>
      </c>
      <c r="B42" s="7">
        <f t="shared" si="1"/>
        <v>0.61450000000000005</v>
      </c>
      <c r="C42" s="8">
        <v>3</v>
      </c>
      <c r="D42" s="8" t="s">
        <v>74</v>
      </c>
      <c r="E42" s="5" t="s">
        <v>74</v>
      </c>
      <c r="F42" s="4">
        <v>0.61499999999999999</v>
      </c>
      <c r="G42" s="3" t="s">
        <v>89</v>
      </c>
      <c r="H42" s="5" t="s">
        <v>76</v>
      </c>
      <c r="I42" s="4">
        <v>0.61399999999999999</v>
      </c>
      <c r="J42" s="3" t="s">
        <v>75</v>
      </c>
      <c r="K42" s="5" t="s">
        <v>74</v>
      </c>
      <c r="L42" s="4">
        <v>0.61450000000000005</v>
      </c>
      <c r="M42" s="3" t="s">
        <v>75</v>
      </c>
      <c r="N42" s="6"/>
      <c r="O42" s="3" t="s">
        <v>86</v>
      </c>
      <c r="P42">
        <v>42.123420000000003</v>
      </c>
      <c r="Q42">
        <v>-3.5274752</v>
      </c>
      <c r="R42">
        <v>9.5259999999999998</v>
      </c>
      <c r="S42">
        <v>0.129</v>
      </c>
      <c r="T42" s="10">
        <v>0.14680357901199551</v>
      </c>
      <c r="U42" s="10">
        <v>0.1416</v>
      </c>
      <c r="V42" s="10">
        <v>-1.3100000000000001E-2</v>
      </c>
      <c r="W42" s="10">
        <v>6.1999999999999998E-3</v>
      </c>
      <c r="X42" s="10">
        <v>0.14932748700915041</v>
      </c>
      <c r="Y42" s="10">
        <v>0.14729999999999999</v>
      </c>
      <c r="Z42" s="10">
        <v>-4.4000000000000003E-3</v>
      </c>
      <c r="AA42" s="10">
        <v>2E-3</v>
      </c>
      <c r="AB42" s="10">
        <v>1.4216903017749609</v>
      </c>
      <c r="AC42" s="10">
        <v>1.4061999999999999</v>
      </c>
      <c r="AD42" s="10">
        <v>-1.95E-2</v>
      </c>
      <c r="AE42" s="10">
        <v>1.8599999999999998E-2</v>
      </c>
      <c r="AF42" s="10">
        <v>119.1043818268961</v>
      </c>
      <c r="AG42" s="10">
        <v>108.9602</v>
      </c>
      <c r="AH42" s="10">
        <v>-10.815799999999999</v>
      </c>
      <c r="AI42" s="10">
        <v>10.416399999999999</v>
      </c>
      <c r="AJ42" s="10">
        <v>0.51937871969137461</v>
      </c>
      <c r="AK42" s="10">
        <v>0.51719999999999999</v>
      </c>
      <c r="AL42" s="10">
        <v>-1.72E-2</v>
      </c>
      <c r="AM42" s="10">
        <v>2.0199999999999999E-2</v>
      </c>
      <c r="AN42" s="10">
        <v>1.461244840705245</v>
      </c>
      <c r="AO42" s="10">
        <v>1.4621</v>
      </c>
      <c r="AP42" s="10">
        <v>-3.4799999999999998E-2</v>
      </c>
      <c r="AQ42" s="10">
        <v>3.6400000000000002E-2</v>
      </c>
      <c r="AR42" s="10">
        <v>4.738460000363812</v>
      </c>
      <c r="AS42" s="10">
        <v>4.7389999999999999</v>
      </c>
      <c r="AT42" s="10">
        <v>-7.3000000000000001E-3</v>
      </c>
      <c r="AU42" s="10">
        <v>7.7999999999999996E-3</v>
      </c>
      <c r="AV42" s="10">
        <v>5.7496900259007111E-2</v>
      </c>
      <c r="AW42" s="10">
        <v>5.1799999999999999E-2</v>
      </c>
      <c r="AX42" s="10">
        <v>-8.9999999999999993E-3</v>
      </c>
      <c r="AY42" s="10">
        <v>8.8999999999999999E-3</v>
      </c>
      <c r="AZ42" s="10">
        <v>-1.7808722585519691E-2</v>
      </c>
      <c r="BA42" s="10">
        <v>-1.95E-2</v>
      </c>
      <c r="BB42" s="10">
        <v>-5.3E-3</v>
      </c>
      <c r="BC42" s="10">
        <v>5.7000000000000002E-3</v>
      </c>
      <c r="BD42" s="10">
        <v>1.8538799359413409</v>
      </c>
      <c r="BE42" s="10">
        <v>1.5996999999999999</v>
      </c>
      <c r="BF42" s="10">
        <v>-0.27829999999999999</v>
      </c>
      <c r="BG42" s="10">
        <v>0.25409999999999999</v>
      </c>
      <c r="BH42" s="13">
        <v>1459.30322265625</v>
      </c>
      <c r="BI42" s="11">
        <v>3.433654641544118</v>
      </c>
      <c r="BJ42" s="13">
        <v>6539.5844685176453</v>
      </c>
      <c r="BK42" s="11">
        <v>1.8663197684125701</v>
      </c>
      <c r="BL42" s="13">
        <v>7998.8876911738953</v>
      </c>
      <c r="BM42" s="11">
        <v>2.6499872049783439</v>
      </c>
    </row>
    <row r="43" spans="1:65" ht="27" customHeight="1">
      <c r="A43" s="4">
        <v>41</v>
      </c>
      <c r="B43" s="7" t="str">
        <f t="shared" si="1"/>
        <v/>
      </c>
      <c r="C43" s="8"/>
      <c r="D43" s="8" t="s">
        <v>72</v>
      </c>
      <c r="E43" s="5" t="s">
        <v>73</v>
      </c>
      <c r="H43" s="5" t="s">
        <v>73</v>
      </c>
      <c r="I43" s="4"/>
      <c r="K43" s="5" t="s">
        <v>73</v>
      </c>
      <c r="N43" s="6"/>
      <c r="P43">
        <v>42.144579999999998</v>
      </c>
      <c r="Q43">
        <v>-3.5410979999999999</v>
      </c>
    </row>
    <row r="44" spans="1:65" ht="27" customHeight="1">
      <c r="A44" s="4">
        <v>42</v>
      </c>
      <c r="B44" s="7">
        <f t="shared" si="1"/>
        <v>0.61</v>
      </c>
      <c r="C44" s="8">
        <v>3</v>
      </c>
      <c r="D44" s="8" t="s">
        <v>79</v>
      </c>
      <c r="E44" s="5" t="s">
        <v>71</v>
      </c>
      <c r="H44" s="5" t="s">
        <v>76</v>
      </c>
      <c r="I44" s="4">
        <v>0.61</v>
      </c>
      <c r="J44" s="3" t="s">
        <v>75</v>
      </c>
      <c r="K44" s="5" t="s">
        <v>76</v>
      </c>
      <c r="L44" s="4">
        <v>0.61</v>
      </c>
      <c r="M44" s="3" t="s">
        <v>80</v>
      </c>
      <c r="N44" s="6"/>
      <c r="O44" s="3" t="s">
        <v>86</v>
      </c>
      <c r="P44">
        <v>42.105342999999998</v>
      </c>
      <c r="Q44">
        <v>-3.5256262999999999</v>
      </c>
      <c r="R44">
        <v>9.0519999999999996</v>
      </c>
      <c r="S44">
        <v>9.8000000000000004E-2</v>
      </c>
      <c r="T44" s="10">
        <v>-2.3580408944175731E-2</v>
      </c>
      <c r="U44" s="10">
        <v>5.5999999999999999E-3</v>
      </c>
      <c r="V44" s="10">
        <v>-6.5000000000000002E-2</v>
      </c>
      <c r="W44" s="10">
        <v>7.0300000000000001E-2</v>
      </c>
      <c r="X44" s="10">
        <v>-3.910261492682067E-2</v>
      </c>
      <c r="Y44" s="10">
        <v>-6.88E-2</v>
      </c>
      <c r="Z44" s="10">
        <v>-5.16E-2</v>
      </c>
      <c r="AA44" s="10">
        <v>7.0099999999999996E-2</v>
      </c>
      <c r="AB44" s="10">
        <v>1.9030753197361989</v>
      </c>
      <c r="AC44" s="10">
        <v>1.8653999999999999</v>
      </c>
      <c r="AD44" s="10">
        <v>-6.2899999999999998E-2</v>
      </c>
      <c r="AE44" s="10">
        <v>6.2399999999999997E-2</v>
      </c>
      <c r="AF44" s="10">
        <v>209.51927090406519</v>
      </c>
      <c r="AG44" s="10">
        <v>143.0778</v>
      </c>
      <c r="AH44" s="10">
        <v>-12.361700000000001</v>
      </c>
      <c r="AI44" s="10">
        <v>12.144399999999999</v>
      </c>
      <c r="AJ44" s="10">
        <v>0.35846150007757149</v>
      </c>
      <c r="AK44" s="10">
        <v>0.3604</v>
      </c>
      <c r="AL44" s="10">
        <v>-5.9200000000000003E-2</v>
      </c>
      <c r="AM44" s="10">
        <v>6.5100000000000005E-2</v>
      </c>
      <c r="AN44" s="10">
        <v>0.54818125236531001</v>
      </c>
      <c r="AO44" s="10">
        <v>0.54800000000000004</v>
      </c>
      <c r="AP44" s="10">
        <v>-3.9600000000000003E-2</v>
      </c>
      <c r="AQ44" s="10">
        <v>4.3999999999999997E-2</v>
      </c>
      <c r="AR44" s="10">
        <v>4.2685293923814047</v>
      </c>
      <c r="AS44" s="10">
        <v>4.2671999999999999</v>
      </c>
      <c r="AT44" s="10">
        <v>-7.6E-3</v>
      </c>
      <c r="AU44" s="10">
        <v>7.6E-3</v>
      </c>
      <c r="AV44" s="10">
        <v>0.29263935111230982</v>
      </c>
      <c r="AW44" s="10">
        <v>0.30449999999999999</v>
      </c>
      <c r="AX44" s="10">
        <v>-1.6299999999999999E-2</v>
      </c>
      <c r="AY44" s="10">
        <v>1.66E-2</v>
      </c>
      <c r="AZ44" s="10">
        <v>-4.3686669909713823E-2</v>
      </c>
      <c r="BA44" s="10">
        <v>-3.6200000000000003E-2</v>
      </c>
      <c r="BB44" s="10">
        <v>-1.3100000000000001E-2</v>
      </c>
      <c r="BC44" s="10">
        <v>1.1900000000000001E-2</v>
      </c>
      <c r="BD44" s="10">
        <v>0.66652110069198578</v>
      </c>
      <c r="BE44" s="10">
        <v>0.37309999999999999</v>
      </c>
      <c r="BF44" s="10">
        <v>-0.1051</v>
      </c>
      <c r="BG44" s="10">
        <v>0.1255</v>
      </c>
      <c r="BH44" s="13">
        <v>717.01458740234375</v>
      </c>
      <c r="BI44" s="11">
        <v>1.687093146829044</v>
      </c>
      <c r="BJ44" s="13">
        <v>1679.4527535104139</v>
      </c>
      <c r="BK44" s="11">
        <v>0.47929587714338301</v>
      </c>
      <c r="BL44" s="13">
        <v>2396.4673409127581</v>
      </c>
      <c r="BM44" s="11">
        <v>1.0831945119862141</v>
      </c>
    </row>
    <row r="45" spans="1:65" ht="27" customHeight="1">
      <c r="A45" s="4">
        <v>43</v>
      </c>
      <c r="B45" s="7">
        <f t="shared" si="1"/>
        <v>0.56025000000000003</v>
      </c>
      <c r="C45" s="8">
        <v>3</v>
      </c>
      <c r="D45" s="8" t="s">
        <v>74</v>
      </c>
      <c r="E45" s="5" t="s">
        <v>71</v>
      </c>
      <c r="H45" s="5" t="s">
        <v>74</v>
      </c>
      <c r="I45" s="4">
        <v>0.56000000000000005</v>
      </c>
      <c r="J45" s="3" t="s">
        <v>80</v>
      </c>
      <c r="K45" s="5" t="s">
        <v>74</v>
      </c>
      <c r="L45" s="4">
        <v>0.5605</v>
      </c>
      <c r="M45" s="3" t="s">
        <v>80</v>
      </c>
      <c r="N45" s="6"/>
      <c r="P45">
        <v>42.159773999999999</v>
      </c>
      <c r="Q45">
        <v>-3.5557321000000002</v>
      </c>
      <c r="R45">
        <v>9.1120000000000001</v>
      </c>
      <c r="S45">
        <v>0.09</v>
      </c>
      <c r="T45" s="10">
        <v>1.765940766926119E-2</v>
      </c>
      <c r="U45" s="10">
        <v>4.2599999999999999E-2</v>
      </c>
      <c r="V45" s="10">
        <v>-3.2099999999999997E-2</v>
      </c>
      <c r="W45" s="10">
        <v>4.7899999999999998E-2</v>
      </c>
      <c r="X45" s="10">
        <v>7.78281143574375E-2</v>
      </c>
      <c r="Y45" s="10">
        <v>6.1199999999999997E-2</v>
      </c>
      <c r="Z45" s="10">
        <v>-2.58E-2</v>
      </c>
      <c r="AA45" s="10">
        <v>0.03</v>
      </c>
      <c r="AB45" s="10">
        <v>1.942755061904297</v>
      </c>
      <c r="AC45" s="10">
        <v>1.7276</v>
      </c>
      <c r="AD45" s="10">
        <v>-0.16239999999999999</v>
      </c>
      <c r="AE45" s="10">
        <v>0.1668</v>
      </c>
      <c r="AF45" s="10">
        <v>82.826399942768717</v>
      </c>
      <c r="AG45" s="10">
        <v>81.719300000000004</v>
      </c>
      <c r="AH45" s="10">
        <v>-10.1487</v>
      </c>
      <c r="AI45" s="10">
        <v>11.691000000000001</v>
      </c>
      <c r="AJ45" s="10">
        <v>0.89211695515031397</v>
      </c>
      <c r="AK45" s="10">
        <v>0.84709999999999996</v>
      </c>
      <c r="AL45" s="10">
        <v>-7.6499999999999999E-2</v>
      </c>
      <c r="AM45" s="10">
        <v>5.5800000000000002E-2</v>
      </c>
      <c r="AN45" s="10">
        <v>0.38347398439791691</v>
      </c>
      <c r="AO45" s="10">
        <v>0.39710000000000001</v>
      </c>
      <c r="AP45" s="10">
        <v>-1.3899999999999999E-2</v>
      </c>
      <c r="AQ45" s="10">
        <v>1.9300000000000001E-2</v>
      </c>
      <c r="AR45" s="10">
        <v>4.425757235115265</v>
      </c>
      <c r="AS45" s="10">
        <v>4.4245999999999999</v>
      </c>
      <c r="AT45" s="10">
        <v>-4.4999999999999997E-3</v>
      </c>
      <c r="AU45" s="10">
        <v>4.5999999999999999E-3</v>
      </c>
      <c r="AV45" s="10">
        <v>0.49331591221155158</v>
      </c>
      <c r="AW45" s="10">
        <v>0.46200000000000002</v>
      </c>
      <c r="AX45" s="10">
        <v>-3.8100000000000002E-2</v>
      </c>
      <c r="AY45" s="10">
        <v>2.6700000000000002E-2</v>
      </c>
      <c r="AZ45" s="10">
        <v>-6.0791554182704648E-2</v>
      </c>
      <c r="BA45" s="10">
        <v>-0.14649999999999999</v>
      </c>
      <c r="BB45" s="10">
        <v>-6.4100000000000004E-2</v>
      </c>
      <c r="BC45" s="10">
        <v>6.6299999999999998E-2</v>
      </c>
      <c r="BD45" s="10">
        <v>1.4627007128662771E-2</v>
      </c>
      <c r="BE45" s="10">
        <v>0.25209999999999999</v>
      </c>
      <c r="BF45" s="10">
        <v>-0.17150000000000001</v>
      </c>
      <c r="BG45" s="10">
        <v>0.2586</v>
      </c>
      <c r="BH45" s="13">
        <v>1078.710327148438</v>
      </c>
      <c r="BI45" s="11">
        <v>2.538141946231617</v>
      </c>
      <c r="BJ45" s="13">
        <v>1450.4475692917929</v>
      </c>
      <c r="BK45" s="11">
        <v>0.41394051635039752</v>
      </c>
      <c r="BL45" s="13">
        <v>2529.1578964402302</v>
      </c>
      <c r="BM45" s="11">
        <v>1.4760412312910069</v>
      </c>
    </row>
    <row r="46" spans="1:65" ht="27" customHeight="1">
      <c r="A46" s="4">
        <v>44</v>
      </c>
      <c r="B46" s="7" t="str">
        <f t="shared" si="1"/>
        <v/>
      </c>
      <c r="C46" s="8"/>
      <c r="D46" s="8" t="s">
        <v>72</v>
      </c>
      <c r="E46" s="5" t="s">
        <v>73</v>
      </c>
      <c r="H46" s="5" t="s">
        <v>73</v>
      </c>
      <c r="I46" s="4"/>
      <c r="K46" s="5" t="s">
        <v>73</v>
      </c>
      <c r="N46" s="6"/>
      <c r="P46">
        <v>42.145119000000001</v>
      </c>
      <c r="Q46">
        <v>-3.5520877</v>
      </c>
    </row>
    <row r="47" spans="1:65" ht="27" customHeight="1">
      <c r="A47" s="4">
        <v>45</v>
      </c>
      <c r="B47" s="7">
        <f t="shared" si="1"/>
        <v>0.60633333333333328</v>
      </c>
      <c r="C47" s="8">
        <v>3</v>
      </c>
      <c r="D47" s="8" t="s">
        <v>74</v>
      </c>
      <c r="E47" s="5" t="s">
        <v>74</v>
      </c>
      <c r="F47" s="4">
        <v>0.60699999999999998</v>
      </c>
      <c r="G47" s="3" t="s">
        <v>80</v>
      </c>
      <c r="H47" s="5" t="s">
        <v>74</v>
      </c>
      <c r="I47" s="4">
        <v>0.60599999999999998</v>
      </c>
      <c r="J47" s="3" t="s">
        <v>80</v>
      </c>
      <c r="K47" s="5" t="s">
        <v>74</v>
      </c>
      <c r="L47" s="4">
        <v>0.60599999999999998</v>
      </c>
      <c r="M47" s="3" t="s">
        <v>80</v>
      </c>
      <c r="N47" s="6"/>
      <c r="P47">
        <v>42.120297000000001</v>
      </c>
      <c r="Q47">
        <v>-3.5435150000000002</v>
      </c>
      <c r="R47">
        <v>9.6809999999999992</v>
      </c>
      <c r="S47">
        <v>7.3999999999999996E-2</v>
      </c>
      <c r="T47" s="10">
        <v>-3.0047722697390301E-2</v>
      </c>
      <c r="U47" s="10">
        <v>-4.8399999999999999E-2</v>
      </c>
      <c r="V47" s="10">
        <v>-2.8799999999999999E-2</v>
      </c>
      <c r="W47" s="10">
        <v>2.5600000000000001E-2</v>
      </c>
      <c r="X47" s="10">
        <v>-5.8855491449158817E-2</v>
      </c>
      <c r="Y47" s="10">
        <v>-4.99E-2</v>
      </c>
      <c r="Z47" s="10">
        <v>-3.4700000000000002E-2</v>
      </c>
      <c r="AA47" s="10">
        <v>3.8300000000000001E-2</v>
      </c>
      <c r="AB47" s="10">
        <v>2.6586540673630981</v>
      </c>
      <c r="AC47" s="10">
        <v>2.6716000000000002</v>
      </c>
      <c r="AD47" s="10">
        <v>-2.1999999999999999E-2</v>
      </c>
      <c r="AE47" s="10">
        <v>2.12E-2</v>
      </c>
      <c r="AF47" s="10">
        <v>362.68478928238642</v>
      </c>
      <c r="AG47" s="10">
        <v>324.08170000000001</v>
      </c>
      <c r="AH47" s="10">
        <v>-13.949299999999999</v>
      </c>
      <c r="AI47" s="10">
        <v>14.7591</v>
      </c>
      <c r="AJ47" s="10">
        <v>0.51078516372764571</v>
      </c>
      <c r="AK47" s="10">
        <v>0.49559999999999998</v>
      </c>
      <c r="AL47" s="10">
        <v>-4.7199999999999999E-2</v>
      </c>
      <c r="AM47" s="10">
        <v>4.6300000000000001E-2</v>
      </c>
      <c r="AN47" s="10">
        <v>0.69187923614421099</v>
      </c>
      <c r="AO47" s="10">
        <v>0.69679999999999997</v>
      </c>
      <c r="AP47" s="10">
        <v>-2.8199999999999999E-2</v>
      </c>
      <c r="AQ47" s="10">
        <v>3.3099999999999997E-2</v>
      </c>
      <c r="AR47" s="10">
        <v>4.7067903067861732</v>
      </c>
      <c r="AS47" s="10">
        <v>4.7053000000000003</v>
      </c>
      <c r="AT47" s="10">
        <v>-3.0999999999999999E-3</v>
      </c>
      <c r="AU47" s="10">
        <v>3.0999999999999999E-3</v>
      </c>
      <c r="AV47" s="10">
        <v>0.3258169148503407</v>
      </c>
      <c r="AW47" s="10">
        <v>0.3306</v>
      </c>
      <c r="AX47" s="10">
        <v>-7.9000000000000008E-3</v>
      </c>
      <c r="AY47" s="10">
        <v>8.2000000000000007E-3</v>
      </c>
      <c r="AZ47" s="10">
        <v>8.5616984151203779E-2</v>
      </c>
      <c r="BA47" s="10">
        <v>8.6099999999999996E-2</v>
      </c>
      <c r="BB47" s="10">
        <v>-8.9999999999999993E-3</v>
      </c>
      <c r="BC47" s="10">
        <v>9.7999999999999997E-3</v>
      </c>
      <c r="BD47" s="10">
        <v>0.88830572937227925</v>
      </c>
      <c r="BE47" s="10">
        <v>0.76229999999999998</v>
      </c>
      <c r="BF47" s="10">
        <v>-8.6499999999999994E-2</v>
      </c>
      <c r="BG47" s="10">
        <v>8.9899999999999994E-2</v>
      </c>
      <c r="BH47" s="13">
        <v>1065.94482421875</v>
      </c>
      <c r="BI47" s="11">
        <v>2.5081054687500002</v>
      </c>
      <c r="BJ47" s="13">
        <v>1856.3687356114749</v>
      </c>
      <c r="BK47" s="11">
        <v>0.52978559806263548</v>
      </c>
      <c r="BL47" s="13">
        <v>2922.3135598302251</v>
      </c>
      <c r="BM47" s="11">
        <v>1.518945533406318</v>
      </c>
    </row>
    <row r="48" spans="1:65" ht="27" customHeight="1">
      <c r="A48" s="4">
        <v>46</v>
      </c>
      <c r="B48" s="7" t="str">
        <f t="shared" si="1"/>
        <v/>
      </c>
      <c r="C48" s="8"/>
      <c r="D48" s="8" t="s">
        <v>72</v>
      </c>
      <c r="E48" s="5" t="s">
        <v>73</v>
      </c>
      <c r="H48" s="5" t="s">
        <v>73</v>
      </c>
      <c r="I48" s="4"/>
      <c r="K48" s="5" t="s">
        <v>73</v>
      </c>
      <c r="N48" s="6"/>
      <c r="P48">
        <v>42.124217000000002</v>
      </c>
      <c r="Q48">
        <v>-3.5485937000000001</v>
      </c>
    </row>
    <row r="49" spans="1:65" ht="27" customHeight="1">
      <c r="A49" s="4">
        <v>47</v>
      </c>
      <c r="B49" s="7">
        <f t="shared" si="1"/>
        <v>0.78400000000000014</v>
      </c>
      <c r="C49" s="8">
        <v>3</v>
      </c>
      <c r="D49" s="8" t="s">
        <v>74</v>
      </c>
      <c r="E49" s="5" t="s">
        <v>76</v>
      </c>
      <c r="F49" s="4">
        <v>0.78449999999999998</v>
      </c>
      <c r="G49" s="3" t="s">
        <v>89</v>
      </c>
      <c r="H49" s="5" t="s">
        <v>76</v>
      </c>
      <c r="I49" s="4">
        <v>0.78400000000000003</v>
      </c>
      <c r="J49" s="3" t="s">
        <v>89</v>
      </c>
      <c r="K49" s="5" t="s">
        <v>74</v>
      </c>
      <c r="L49" s="4">
        <v>0.78349999999999997</v>
      </c>
      <c r="M49" s="3" t="s">
        <v>80</v>
      </c>
      <c r="N49" s="6"/>
      <c r="P49">
        <v>42.104540999999998</v>
      </c>
      <c r="Q49">
        <v>-3.5423152</v>
      </c>
      <c r="R49">
        <v>9.9510000000000005</v>
      </c>
      <c r="S49">
        <v>5.8999999999999997E-2</v>
      </c>
      <c r="T49" s="10">
        <v>-0.14459027371479041</v>
      </c>
      <c r="U49" s="10">
        <v>-0.13059999999999999</v>
      </c>
      <c r="V49" s="10">
        <v>-1.41E-2</v>
      </c>
      <c r="W49" s="10">
        <v>2.7900000000000001E-2</v>
      </c>
      <c r="X49" s="10">
        <v>6.5403661752174908E-2</v>
      </c>
      <c r="Y49" s="10">
        <v>6.4199999999999993E-2</v>
      </c>
      <c r="Z49" s="10">
        <v>-2.0400000000000001E-2</v>
      </c>
      <c r="AA49" s="10">
        <v>2.12E-2</v>
      </c>
      <c r="AB49" s="10">
        <v>3.0214650760818911</v>
      </c>
      <c r="AC49" s="10">
        <v>3.0186999999999999</v>
      </c>
      <c r="AD49" s="10">
        <v>-2.9000000000000001E-2</v>
      </c>
      <c r="AE49" s="10">
        <v>2.9899999999999999E-2</v>
      </c>
      <c r="AF49" s="10">
        <v>256.51289867983502</v>
      </c>
      <c r="AG49" s="10">
        <v>205.35239999999999</v>
      </c>
      <c r="AH49" s="10">
        <v>-14.860300000000001</v>
      </c>
      <c r="AI49" s="10">
        <v>13.903499999999999</v>
      </c>
      <c r="AJ49" s="10">
        <v>0.46771634550139107</v>
      </c>
      <c r="AK49" s="10">
        <v>0.49370000000000003</v>
      </c>
      <c r="AL49" s="10">
        <v>-1.9400000000000001E-2</v>
      </c>
      <c r="AM49" s="10">
        <v>3.32E-2</v>
      </c>
      <c r="AN49" s="10">
        <v>1.0722052183685551</v>
      </c>
      <c r="AO49" s="10">
        <v>1.0398000000000001</v>
      </c>
      <c r="AP49" s="10">
        <v>-3.0200000000000001E-2</v>
      </c>
      <c r="AQ49" s="10">
        <v>2.1499999999999998E-2</v>
      </c>
      <c r="AR49" s="10">
        <v>4.7771869134991398</v>
      </c>
      <c r="AS49" s="10">
        <v>4.7773000000000003</v>
      </c>
      <c r="AT49" s="10">
        <v>-3.8999999999999998E-3</v>
      </c>
      <c r="AU49" s="10">
        <v>3.8999999999999998E-3</v>
      </c>
      <c r="AV49" s="10">
        <v>0.21774512658333259</v>
      </c>
      <c r="AW49" s="10">
        <v>0.22900000000000001</v>
      </c>
      <c r="AX49" s="10">
        <v>-8.6999999999999994E-3</v>
      </c>
      <c r="AY49" s="10">
        <v>8.9999999999999993E-3</v>
      </c>
      <c r="AZ49" s="10">
        <v>8.463443479832744E-2</v>
      </c>
      <c r="BA49" s="10">
        <v>9.0800000000000006E-2</v>
      </c>
      <c r="BB49" s="10">
        <v>-6.7000000000000002E-3</v>
      </c>
      <c r="BC49" s="10">
        <v>7.3000000000000001E-3</v>
      </c>
      <c r="BD49" s="10">
        <v>0.80931438056099547</v>
      </c>
      <c r="BE49" s="10">
        <v>0.47070000000000001</v>
      </c>
      <c r="BF49" s="10">
        <v>-0.1012</v>
      </c>
      <c r="BG49" s="10">
        <v>9.7799999999999998E-2</v>
      </c>
      <c r="BH49" s="13">
        <v>762.9520263671875</v>
      </c>
      <c r="BI49" s="11">
        <v>1.79518123851103</v>
      </c>
      <c r="BJ49" s="13">
        <v>1752.5588425754211</v>
      </c>
      <c r="BK49" s="11">
        <v>0.50015948703636459</v>
      </c>
      <c r="BL49" s="13">
        <v>2515.5108689426088</v>
      </c>
      <c r="BM49" s="11">
        <v>1.1476703627736971</v>
      </c>
    </row>
    <row r="50" spans="1:65" ht="27" customHeight="1">
      <c r="A50" s="4">
        <v>48</v>
      </c>
      <c r="B50" s="7">
        <f t="shared" si="1"/>
        <v>0.78425</v>
      </c>
      <c r="C50" s="8">
        <v>3</v>
      </c>
      <c r="D50" s="8" t="s">
        <v>74</v>
      </c>
      <c r="E50" s="5" t="s">
        <v>71</v>
      </c>
      <c r="H50" s="5" t="s">
        <v>74</v>
      </c>
      <c r="I50" s="4">
        <v>0.78400000000000003</v>
      </c>
      <c r="J50" s="3" t="s">
        <v>80</v>
      </c>
      <c r="K50" s="5" t="s">
        <v>74</v>
      </c>
      <c r="L50" s="4">
        <v>0.78449999999999998</v>
      </c>
      <c r="M50" s="3" t="s">
        <v>89</v>
      </c>
      <c r="N50" s="6"/>
      <c r="O50" s="3" t="s">
        <v>92</v>
      </c>
      <c r="P50">
        <v>42.123728999999997</v>
      </c>
      <c r="Q50">
        <v>-3.5544001000000001</v>
      </c>
      <c r="R50">
        <v>9.5749999999999993</v>
      </c>
      <c r="S50">
        <v>0.10100000000000001</v>
      </c>
      <c r="T50" s="10">
        <v>-0.1450773334650432</v>
      </c>
      <c r="U50" s="10">
        <v>-0.1154</v>
      </c>
      <c r="V50" s="10">
        <v>-2.47E-2</v>
      </c>
      <c r="W50" s="10">
        <v>3.9100000000000003E-2</v>
      </c>
      <c r="X50" s="10">
        <v>-4.8636086199239717E-2</v>
      </c>
      <c r="Y50" s="10">
        <v>-3.0999999999999999E-3</v>
      </c>
      <c r="Z50" s="10">
        <v>-7.8200000000000006E-2</v>
      </c>
      <c r="AA50" s="10">
        <v>7.9899999999999999E-2</v>
      </c>
      <c r="AB50" s="10">
        <v>0.57159023941149023</v>
      </c>
      <c r="AC50" s="10">
        <v>0.57820000000000005</v>
      </c>
      <c r="AD50" s="10">
        <v>-2.76E-2</v>
      </c>
      <c r="AE50" s="10">
        <v>2.7300000000000001E-2</v>
      </c>
      <c r="AF50" s="10">
        <v>153.33629580516919</v>
      </c>
      <c r="AG50" s="10">
        <v>154.60220000000001</v>
      </c>
      <c r="AH50" s="10">
        <v>-7.1734</v>
      </c>
      <c r="AI50" s="10">
        <v>7.5092999999999996</v>
      </c>
      <c r="AJ50" s="10">
        <v>0.36920436532962708</v>
      </c>
      <c r="AK50" s="10">
        <v>0.4108</v>
      </c>
      <c r="AL50" s="10">
        <v>-5.7299999999999997E-2</v>
      </c>
      <c r="AM50" s="10">
        <v>6.93E-2</v>
      </c>
      <c r="AN50" s="10">
        <v>0.73007268802281544</v>
      </c>
      <c r="AO50" s="10">
        <v>0.70069999999999999</v>
      </c>
      <c r="AP50" s="10">
        <v>-8.0600000000000005E-2</v>
      </c>
      <c r="AQ50" s="10">
        <v>8.6900000000000005E-2</v>
      </c>
      <c r="AR50" s="10">
        <v>4.5764495987680576</v>
      </c>
      <c r="AS50" s="10">
        <v>4.5869999999999997</v>
      </c>
      <c r="AT50" s="10">
        <v>-3.5900000000000001E-2</v>
      </c>
      <c r="AU50" s="10">
        <v>3.4700000000000002E-2</v>
      </c>
      <c r="AV50" s="10">
        <v>-6.6852564949049231E-3</v>
      </c>
      <c r="AW50" s="10">
        <v>-1.4E-2</v>
      </c>
      <c r="AX50" s="10">
        <v>-6.7900000000000002E-2</v>
      </c>
      <c r="AY50" s="10">
        <v>6.5299999999999997E-2</v>
      </c>
      <c r="AZ50" s="10">
        <v>-0.1717233579384079</v>
      </c>
      <c r="BA50" s="10">
        <v>-0.18640000000000001</v>
      </c>
      <c r="BB50" s="10">
        <v>-5.4899999999999997E-2</v>
      </c>
      <c r="BC50" s="10">
        <v>4.4400000000000002E-2</v>
      </c>
      <c r="BD50" s="10">
        <v>1.4027355236749891E-2</v>
      </c>
      <c r="BE50" s="10">
        <v>1.5699999999999999E-2</v>
      </c>
      <c r="BF50" s="10">
        <v>-4.1999999999999997E-3</v>
      </c>
      <c r="BG50" s="10">
        <v>8.6E-3</v>
      </c>
      <c r="BH50" s="13">
        <v>1184.5615234375</v>
      </c>
      <c r="BI50" s="11">
        <v>2.7612156723484849</v>
      </c>
      <c r="BJ50" s="13">
        <v>953.50607200965555</v>
      </c>
      <c r="BK50" s="11">
        <v>0.5405363220009386</v>
      </c>
      <c r="BL50" s="13">
        <v>2138.0675954471549</v>
      </c>
      <c r="BM50" s="11">
        <v>1.650875997174712</v>
      </c>
    </row>
    <row r="51" spans="1:65" ht="27" customHeight="1">
      <c r="A51" s="4">
        <v>49</v>
      </c>
      <c r="B51" s="7">
        <f t="shared" si="1"/>
        <v>0.66600000000000004</v>
      </c>
      <c r="C51" s="8">
        <v>3</v>
      </c>
      <c r="D51" s="8" t="s">
        <v>79</v>
      </c>
      <c r="E51" s="5" t="s">
        <v>71</v>
      </c>
      <c r="H51" s="5" t="s">
        <v>76</v>
      </c>
      <c r="I51" s="4">
        <v>0.66600000000000004</v>
      </c>
      <c r="J51" s="3" t="s">
        <v>80</v>
      </c>
      <c r="K51" s="5" t="s">
        <v>76</v>
      </c>
      <c r="L51" s="4">
        <v>0.66600000000000004</v>
      </c>
      <c r="M51" s="3" t="s">
        <v>80</v>
      </c>
      <c r="N51" s="6"/>
      <c r="O51" s="3" t="s">
        <v>89</v>
      </c>
      <c r="P51">
        <v>42.185381999999997</v>
      </c>
      <c r="Q51">
        <v>-3.5879474999999998</v>
      </c>
      <c r="R51">
        <v>9.49</v>
      </c>
      <c r="S51">
        <v>4.8000000000000001E-2</v>
      </c>
      <c r="T51" s="10">
        <v>5.3731595713477943E-2</v>
      </c>
      <c r="U51" s="10">
        <v>4.53E-2</v>
      </c>
      <c r="V51" s="10">
        <v>-3.2199999999999999E-2</v>
      </c>
      <c r="W51" s="10">
        <v>4.3099999999999999E-2</v>
      </c>
      <c r="X51" s="10">
        <v>4.4678369273076952E-2</v>
      </c>
      <c r="Y51" s="10">
        <v>4.9399999999999999E-2</v>
      </c>
      <c r="Z51" s="10">
        <v>-2.7799999999999998E-2</v>
      </c>
      <c r="AA51" s="10">
        <v>4.8099999999999997E-2</v>
      </c>
      <c r="AB51" s="10">
        <v>2.0872362559453879</v>
      </c>
      <c r="AC51" s="10">
        <v>2.1873</v>
      </c>
      <c r="AD51" s="10">
        <v>-0.34770000000000001</v>
      </c>
      <c r="AE51" s="10">
        <v>0.36420000000000002</v>
      </c>
      <c r="AF51" s="10">
        <v>101.45105636435891</v>
      </c>
      <c r="AG51" s="10">
        <v>101.6343</v>
      </c>
      <c r="AH51" s="10">
        <v>-12.326700000000001</v>
      </c>
      <c r="AI51" s="10">
        <v>13.8347</v>
      </c>
      <c r="AJ51" s="10">
        <v>0.92939294020427521</v>
      </c>
      <c r="AK51" s="10">
        <v>0.89759999999999995</v>
      </c>
      <c r="AL51" s="10">
        <v>-8.6999999999999994E-2</v>
      </c>
      <c r="AM51" s="10">
        <v>6.1400000000000003E-2</v>
      </c>
      <c r="AN51" s="10">
        <v>0.31642242382880881</v>
      </c>
      <c r="AO51" s="10">
        <v>0.32569999999999999</v>
      </c>
      <c r="AP51" s="10">
        <v>-1.15E-2</v>
      </c>
      <c r="AQ51" s="10">
        <v>1.6299999999999999E-2</v>
      </c>
      <c r="AR51" s="10">
        <v>4.4275586818683941</v>
      </c>
      <c r="AS51" s="10">
        <v>4.4287999999999998</v>
      </c>
      <c r="AT51" s="10">
        <v>-4.3E-3</v>
      </c>
      <c r="AU51" s="10">
        <v>4.1999999999999997E-3</v>
      </c>
      <c r="AV51" s="10">
        <v>0.60387997360653123</v>
      </c>
      <c r="AW51" s="10">
        <v>0.57889999999999997</v>
      </c>
      <c r="AX51" s="10">
        <v>-4.6800000000000001E-2</v>
      </c>
      <c r="AY51" s="10">
        <v>2.5499999999999998E-2</v>
      </c>
      <c r="AZ51" s="10">
        <v>-6.5770781615853924E-2</v>
      </c>
      <c r="BA51" s="10">
        <v>-3.2000000000000002E-3</v>
      </c>
      <c r="BB51" s="10">
        <v>-0.18360000000000001</v>
      </c>
      <c r="BC51" s="10">
        <v>0.1908</v>
      </c>
      <c r="BD51" s="10">
        <v>0.83444313979456541</v>
      </c>
      <c r="BE51" s="10">
        <v>1.2346999999999999</v>
      </c>
      <c r="BF51" s="10">
        <v>-0.60229999999999995</v>
      </c>
      <c r="BG51" s="10">
        <v>0.50580000000000003</v>
      </c>
      <c r="BH51" s="13">
        <v>1020.33740234375</v>
      </c>
      <c r="BI51" s="11">
        <v>2.3784088632721452</v>
      </c>
      <c r="BJ51" s="13">
        <v>705.42696203891296</v>
      </c>
      <c r="BK51" s="11">
        <v>0.3999019059177511</v>
      </c>
      <c r="BL51" s="13">
        <v>1725.764364382663</v>
      </c>
      <c r="BM51" s="11">
        <v>1.389155384594948</v>
      </c>
    </row>
    <row r="52" spans="1:65" ht="27" customHeight="1">
      <c r="A52" s="4">
        <v>50</v>
      </c>
      <c r="B52" s="7">
        <f t="shared" si="1"/>
        <v>0.84500000000000008</v>
      </c>
      <c r="C52" s="8">
        <v>3</v>
      </c>
      <c r="D52" s="8" t="s">
        <v>74</v>
      </c>
      <c r="E52" s="5" t="s">
        <v>76</v>
      </c>
      <c r="F52" s="4">
        <v>0.84499999999999997</v>
      </c>
      <c r="G52" s="3" t="s">
        <v>92</v>
      </c>
      <c r="H52" s="5" t="s">
        <v>74</v>
      </c>
      <c r="I52" s="4">
        <v>0.84499999999999997</v>
      </c>
      <c r="J52" s="3" t="s">
        <v>94</v>
      </c>
      <c r="K52" s="5" t="s">
        <v>74</v>
      </c>
      <c r="L52" s="4">
        <v>0.84499999999999997</v>
      </c>
      <c r="M52" s="3" t="s">
        <v>94</v>
      </c>
      <c r="N52" s="6"/>
      <c r="P52">
        <v>42.164859999999997</v>
      </c>
      <c r="Q52">
        <v>-3.5812126000000002</v>
      </c>
      <c r="R52">
        <v>10.304</v>
      </c>
      <c r="S52">
        <v>6.2E-2</v>
      </c>
      <c r="T52" s="10">
        <v>-1.4927646119578251E-3</v>
      </c>
      <c r="U52" s="10">
        <v>1.8100000000000002E-2</v>
      </c>
      <c r="V52" s="10">
        <v>-1.49E-2</v>
      </c>
      <c r="W52" s="10">
        <v>2.2200000000000001E-2</v>
      </c>
      <c r="X52" s="10">
        <v>4.0065555774897482E-2</v>
      </c>
      <c r="Y52" s="10">
        <v>3.9699999999999999E-2</v>
      </c>
      <c r="Z52" s="10">
        <v>-9.1999999999999998E-3</v>
      </c>
      <c r="AA52" s="10">
        <v>9.1000000000000004E-3</v>
      </c>
      <c r="AB52" s="10">
        <v>1.6964528970404369</v>
      </c>
      <c r="AC52" s="10">
        <v>1.6265000000000001</v>
      </c>
      <c r="AD52" s="10">
        <v>-5.8900000000000001E-2</v>
      </c>
      <c r="AE52" s="10">
        <v>5.8400000000000001E-2</v>
      </c>
      <c r="AF52" s="10">
        <v>196.0149346495003</v>
      </c>
      <c r="AG52" s="10">
        <v>167.07239999999999</v>
      </c>
      <c r="AH52" s="10">
        <v>-19.978000000000002</v>
      </c>
      <c r="AI52" s="10">
        <v>22.428999999999998</v>
      </c>
      <c r="AJ52" s="10">
        <v>0.9522371914842539</v>
      </c>
      <c r="AK52" s="10">
        <v>0.91720000000000002</v>
      </c>
      <c r="AL52" s="10">
        <v>-3.8800000000000001E-2</v>
      </c>
      <c r="AM52" s="10">
        <v>2.4400000000000002E-2</v>
      </c>
      <c r="AN52" s="10">
        <v>0.7403840786763547</v>
      </c>
      <c r="AO52" s="10">
        <v>0.76180000000000003</v>
      </c>
      <c r="AP52" s="10">
        <v>-1.2500000000000001E-2</v>
      </c>
      <c r="AQ52" s="10">
        <v>1.77E-2</v>
      </c>
      <c r="AR52" s="10">
        <v>4.8998822508945139</v>
      </c>
      <c r="AS52" s="10">
        <v>4.9009999999999998</v>
      </c>
      <c r="AT52" s="10">
        <v>-3.8999999999999998E-3</v>
      </c>
      <c r="AU52" s="10">
        <v>4.0000000000000001E-3</v>
      </c>
      <c r="AV52" s="10">
        <v>0.30248773650499872</v>
      </c>
      <c r="AW52" s="10">
        <v>0.30230000000000001</v>
      </c>
      <c r="AX52" s="10">
        <v>-8.6999999999999994E-3</v>
      </c>
      <c r="AY52" s="10">
        <v>8.6999999999999994E-3</v>
      </c>
      <c r="AZ52" s="10">
        <v>7.1425528701908769E-2</v>
      </c>
      <c r="BA52" s="10">
        <v>5.0900000000000001E-2</v>
      </c>
      <c r="BB52" s="10">
        <v>-1.8200000000000001E-2</v>
      </c>
      <c r="BC52" s="10">
        <v>1.8599999999999998E-2</v>
      </c>
      <c r="BD52" s="10">
        <v>3.3457766999074941E-2</v>
      </c>
      <c r="BE52" s="10">
        <v>0.10580000000000001</v>
      </c>
      <c r="BF52" s="10">
        <v>-7.5700000000000003E-2</v>
      </c>
      <c r="BG52" s="10">
        <v>0.30599999999999999</v>
      </c>
      <c r="BH52" s="13">
        <v>621.29693603515625</v>
      </c>
      <c r="BI52" s="11">
        <v>1.4757646936702049</v>
      </c>
      <c r="BJ52" s="13">
        <v>1967.037672605004</v>
      </c>
      <c r="BK52" s="11">
        <v>0.56524071051867919</v>
      </c>
      <c r="BL52" s="13">
        <v>2588.3346086401598</v>
      </c>
      <c r="BM52" s="11">
        <v>1.0205027020944419</v>
      </c>
    </row>
    <row r="53" spans="1:65" ht="27" customHeight="1">
      <c r="A53" s="4">
        <v>51</v>
      </c>
      <c r="B53" s="7" t="str">
        <f t="shared" si="1"/>
        <v/>
      </c>
      <c r="C53" s="8"/>
      <c r="D53" s="8" t="s">
        <v>83</v>
      </c>
      <c r="E53" s="5" t="s">
        <v>84</v>
      </c>
      <c r="H53" s="5" t="s">
        <v>84</v>
      </c>
      <c r="I53" s="4"/>
      <c r="K53" s="5" t="s">
        <v>84</v>
      </c>
      <c r="N53" s="6"/>
      <c r="P53">
        <v>42.125543999999998</v>
      </c>
      <c r="Q53">
        <v>-3.5677932999999999</v>
      </c>
    </row>
    <row r="54" spans="1:65" ht="27" customHeight="1">
      <c r="A54" s="4">
        <v>52</v>
      </c>
      <c r="B54" s="7">
        <f t="shared" si="1"/>
        <v>0.61799999999999999</v>
      </c>
      <c r="C54" s="8">
        <v>3</v>
      </c>
      <c r="D54" s="8" t="s">
        <v>74</v>
      </c>
      <c r="E54" s="5" t="s">
        <v>71</v>
      </c>
      <c r="H54" s="5" t="s">
        <v>74</v>
      </c>
      <c r="I54" s="4">
        <v>0.61799999999999999</v>
      </c>
      <c r="J54" s="3" t="s">
        <v>80</v>
      </c>
      <c r="K54" s="5" t="s">
        <v>74</v>
      </c>
      <c r="L54" s="4">
        <v>0.61799999999999999</v>
      </c>
      <c r="M54" s="3" t="s">
        <v>80</v>
      </c>
      <c r="N54" s="6"/>
      <c r="P54">
        <v>42.120930000000001</v>
      </c>
      <c r="Q54">
        <v>-3.5685508000000001</v>
      </c>
      <c r="R54">
        <v>9.4390000000000001</v>
      </c>
      <c r="S54">
        <v>6.0999999999999999E-2</v>
      </c>
      <c r="T54" s="10">
        <v>-0.14971092347208581</v>
      </c>
      <c r="U54" s="10">
        <v>-0.14649999999999999</v>
      </c>
      <c r="V54" s="10">
        <v>-2.5999999999999999E-3</v>
      </c>
      <c r="W54" s="10">
        <v>5.1999999999999998E-3</v>
      </c>
      <c r="X54" s="10">
        <v>-0.14863953176258829</v>
      </c>
      <c r="Y54" s="10">
        <v>-0.14249999999999999</v>
      </c>
      <c r="Z54" s="10">
        <v>-5.4999999999999997E-3</v>
      </c>
      <c r="AA54" s="10">
        <v>1.32E-2</v>
      </c>
      <c r="AB54" s="10">
        <v>2.5806213290017261</v>
      </c>
      <c r="AC54" s="10">
        <v>2.5718000000000001</v>
      </c>
      <c r="AD54" s="10">
        <v>-2.5700000000000001E-2</v>
      </c>
      <c r="AE54" s="10">
        <v>2.6599999999999999E-2</v>
      </c>
      <c r="AF54" s="10">
        <v>154.1446402599064</v>
      </c>
      <c r="AG54" s="10">
        <v>119.9186</v>
      </c>
      <c r="AH54" s="10">
        <v>-14.492699999999999</v>
      </c>
      <c r="AI54" s="10">
        <v>13.8185</v>
      </c>
      <c r="AJ54" s="10">
        <v>0.55775950903909532</v>
      </c>
      <c r="AK54" s="10">
        <v>0.57150000000000001</v>
      </c>
      <c r="AL54" s="10">
        <v>-2.3900000000000001E-2</v>
      </c>
      <c r="AM54" s="10">
        <v>2.2599999999999999E-2</v>
      </c>
      <c r="AN54" s="10">
        <v>0.38312271023701622</v>
      </c>
      <c r="AO54" s="10">
        <v>0.38300000000000001</v>
      </c>
      <c r="AP54" s="10">
        <v>-6.7999999999999996E-3</v>
      </c>
      <c r="AQ54" s="10">
        <v>7.4999999999999997E-3</v>
      </c>
      <c r="AR54" s="10">
        <v>4.4493320252217714</v>
      </c>
      <c r="AS54" s="10">
        <v>4.4500999999999999</v>
      </c>
      <c r="AT54" s="10">
        <v>-3.8E-3</v>
      </c>
      <c r="AU54" s="10">
        <v>3.8999999999999998E-3</v>
      </c>
      <c r="AV54" s="10">
        <v>0.36008322719586472</v>
      </c>
      <c r="AW54" s="10">
        <v>0.35949999999999999</v>
      </c>
      <c r="AX54" s="10">
        <v>-1.52E-2</v>
      </c>
      <c r="AY54" s="10">
        <v>1.49E-2</v>
      </c>
      <c r="AZ54" s="10">
        <v>0.33155160184751348</v>
      </c>
      <c r="BA54" s="10">
        <v>0.33279999999999998</v>
      </c>
      <c r="BB54" s="10">
        <v>-1.5699999999999999E-2</v>
      </c>
      <c r="BC54" s="10">
        <v>1.43E-2</v>
      </c>
      <c r="BD54" s="10">
        <v>0.82383949022817859</v>
      </c>
      <c r="BE54" s="10">
        <v>0.42580000000000001</v>
      </c>
      <c r="BF54" s="10">
        <v>-0.19370000000000001</v>
      </c>
      <c r="BG54" s="10">
        <v>0.20150000000000001</v>
      </c>
      <c r="BH54" s="13">
        <v>1405.2275390625</v>
      </c>
      <c r="BI54" s="11">
        <v>3.306417738970588</v>
      </c>
      <c r="BJ54" s="13">
        <v>2445.7158357240378</v>
      </c>
      <c r="BK54" s="11">
        <v>0.69797826361987392</v>
      </c>
      <c r="BL54" s="13">
        <v>3850.9433747865378</v>
      </c>
      <c r="BM54" s="11">
        <v>2.002198001295231</v>
      </c>
    </row>
    <row r="55" spans="1:65" ht="27" customHeight="1">
      <c r="A55" s="4">
        <v>53</v>
      </c>
      <c r="B55" s="7" t="str">
        <f t="shared" si="1"/>
        <v/>
      </c>
      <c r="C55" s="8"/>
      <c r="D55" s="8" t="s">
        <v>97</v>
      </c>
      <c r="E55" s="5" t="s">
        <v>98</v>
      </c>
      <c r="H55" s="5" t="s">
        <v>98</v>
      </c>
      <c r="I55" s="4"/>
      <c r="K55" s="5" t="s">
        <v>98</v>
      </c>
      <c r="N55" s="6"/>
      <c r="P55">
        <v>42.089489</v>
      </c>
      <c r="Q55">
        <v>-3.5571025000000001</v>
      </c>
    </row>
    <row r="56" spans="1:65" ht="27" customHeight="1">
      <c r="A56" s="4">
        <v>54</v>
      </c>
      <c r="B56" s="7">
        <f t="shared" si="1"/>
        <v>0.51424999999999998</v>
      </c>
      <c r="C56" s="8">
        <v>3</v>
      </c>
      <c r="D56" s="8" t="s">
        <v>74</v>
      </c>
      <c r="E56" s="5" t="s">
        <v>73</v>
      </c>
      <c r="H56" s="5" t="s">
        <v>74</v>
      </c>
      <c r="I56" s="4">
        <v>0.51400000000000001</v>
      </c>
      <c r="J56" s="3" t="s">
        <v>80</v>
      </c>
      <c r="K56" s="5" t="s">
        <v>74</v>
      </c>
      <c r="L56" s="4">
        <v>0.51449999999999996</v>
      </c>
      <c r="M56" s="3" t="s">
        <v>75</v>
      </c>
      <c r="N56" s="6" t="s">
        <v>100</v>
      </c>
      <c r="P56">
        <v>42.133048000000002</v>
      </c>
      <c r="Q56">
        <v>-3.5802353999999998</v>
      </c>
      <c r="R56">
        <v>9.3149999999999995</v>
      </c>
      <c r="S56">
        <v>8.5000000000000006E-2</v>
      </c>
      <c r="T56" s="10">
        <v>6.8446950868568668E-3</v>
      </c>
      <c r="U56" s="10">
        <v>5.1000000000000004E-3</v>
      </c>
      <c r="V56" s="10">
        <v>-4.1000000000000002E-2</v>
      </c>
      <c r="W56" s="10">
        <v>3.1300000000000001E-2</v>
      </c>
      <c r="X56" s="10">
        <v>-3.7781819150478957E-2</v>
      </c>
      <c r="Y56" s="10">
        <v>-4.1200000000000001E-2</v>
      </c>
      <c r="Z56" s="10">
        <v>-3.8600000000000002E-2</v>
      </c>
      <c r="AA56" s="10">
        <v>5.0799999999999998E-2</v>
      </c>
      <c r="AB56" s="10">
        <v>-0.4625025855756042</v>
      </c>
      <c r="AC56" s="10">
        <v>-0.4637</v>
      </c>
      <c r="AD56" s="10">
        <v>-5.1900000000000002E-2</v>
      </c>
      <c r="AE56" s="10">
        <v>4.8000000000000001E-2</v>
      </c>
      <c r="AF56" s="10">
        <v>92.946921125629231</v>
      </c>
      <c r="AG56" s="10">
        <v>95.530699999999996</v>
      </c>
      <c r="AH56" s="10">
        <v>-8.8775999999999993</v>
      </c>
      <c r="AI56" s="10">
        <v>10.8522</v>
      </c>
      <c r="AJ56" s="10">
        <v>0.69694897334331718</v>
      </c>
      <c r="AK56" s="10">
        <v>0.6925</v>
      </c>
      <c r="AL56" s="10">
        <v>-8.4900000000000003E-2</v>
      </c>
      <c r="AM56" s="10">
        <v>7.0999999999999994E-2</v>
      </c>
      <c r="AN56" s="10">
        <v>0.51005744022022181</v>
      </c>
      <c r="AO56" s="10">
        <v>0.51160000000000005</v>
      </c>
      <c r="AP56" s="10">
        <v>-2.35E-2</v>
      </c>
      <c r="AQ56" s="10">
        <v>3.2899999999999999E-2</v>
      </c>
      <c r="AR56" s="10">
        <v>4.6727690707528051</v>
      </c>
      <c r="AS56" s="10">
        <v>4.6737000000000002</v>
      </c>
      <c r="AT56" s="10">
        <v>-3.0000000000000001E-3</v>
      </c>
      <c r="AU56" s="10">
        <v>3.0999999999999999E-3</v>
      </c>
      <c r="AV56" s="10">
        <v>-0.15637872711048001</v>
      </c>
      <c r="AW56" s="10">
        <v>-0.15440000000000001</v>
      </c>
      <c r="AX56" s="10">
        <v>-9.5999999999999992E-3</v>
      </c>
      <c r="AY56" s="10">
        <v>9.9000000000000008E-3</v>
      </c>
      <c r="AZ56" s="10">
        <v>-0.10432051157159131</v>
      </c>
      <c r="BA56" s="10">
        <v>-0.1016</v>
      </c>
      <c r="BB56" s="10">
        <v>-1.29E-2</v>
      </c>
      <c r="BC56" s="10">
        <v>1.34E-2</v>
      </c>
      <c r="BD56" s="10">
        <v>3.9982225461453441E-2</v>
      </c>
      <c r="BE56" s="10">
        <v>3.3300000000000003E-2</v>
      </c>
      <c r="BF56" s="10">
        <v>-1.7100000000000001E-2</v>
      </c>
      <c r="BG56" s="10">
        <v>3.4799999999999998E-2</v>
      </c>
      <c r="BH56" s="13">
        <v>1560.671508789062</v>
      </c>
      <c r="BI56" s="11">
        <v>3.7070582156509801</v>
      </c>
      <c r="BJ56" s="13">
        <v>3302.9938806552241</v>
      </c>
      <c r="BK56" s="11">
        <v>0.63275744840138382</v>
      </c>
      <c r="BL56" s="13">
        <v>4863.6653894442861</v>
      </c>
      <c r="BM56" s="11">
        <v>2.169907832026182</v>
      </c>
    </row>
    <row r="57" spans="1:65" ht="27" customHeight="1">
      <c r="A57" s="4">
        <v>55</v>
      </c>
      <c r="B57" s="7">
        <f t="shared" si="1"/>
        <v>0.51400000000000001</v>
      </c>
      <c r="C57" s="8">
        <v>3</v>
      </c>
      <c r="D57" s="8" t="s">
        <v>93</v>
      </c>
      <c r="E57" s="5" t="s">
        <v>73</v>
      </c>
      <c r="H57" s="5" t="s">
        <v>84</v>
      </c>
      <c r="I57" s="4"/>
      <c r="K57" s="5" t="s">
        <v>74</v>
      </c>
      <c r="L57" s="4">
        <v>0.51400000000000001</v>
      </c>
      <c r="M57" s="3" t="s">
        <v>80</v>
      </c>
      <c r="N57" s="6" t="s">
        <v>101</v>
      </c>
      <c r="P57">
        <v>42.163426000000001</v>
      </c>
      <c r="Q57">
        <v>-3.5991566000000002</v>
      </c>
      <c r="R57">
        <v>9.4949999999999992</v>
      </c>
      <c r="S57">
        <v>8.7999999999999995E-2</v>
      </c>
      <c r="T57" s="10">
        <v>-0.14926536832038051</v>
      </c>
      <c r="U57" s="10">
        <v>-0.14380000000000001</v>
      </c>
      <c r="V57" s="10">
        <v>-4.5999999999999999E-3</v>
      </c>
      <c r="W57" s="10">
        <v>8.3999999999999995E-3</v>
      </c>
      <c r="X57" s="10">
        <v>6.5464502755665704E-2</v>
      </c>
      <c r="Y57" s="10">
        <v>9.2700000000000005E-2</v>
      </c>
      <c r="Z57" s="10">
        <v>-5.0799999999999998E-2</v>
      </c>
      <c r="AA57" s="10">
        <v>3.7199999999999997E-2</v>
      </c>
      <c r="AB57" s="10">
        <v>-2.469447097777846</v>
      </c>
      <c r="AC57" s="10">
        <v>-2.4649999999999999</v>
      </c>
      <c r="AD57" s="10">
        <v>-3.4599999999999999E-2</v>
      </c>
      <c r="AE57" s="10">
        <v>3.2300000000000002E-2</v>
      </c>
      <c r="AF57" s="10">
        <v>214.80173225489659</v>
      </c>
      <c r="AG57" s="10">
        <v>164.57579999999999</v>
      </c>
      <c r="AH57" s="10">
        <v>-13.2075</v>
      </c>
      <c r="AI57" s="10">
        <v>11.814299999999999</v>
      </c>
      <c r="AJ57" s="10">
        <v>0.61280696775343801</v>
      </c>
      <c r="AK57" s="10">
        <v>0.64949999999999997</v>
      </c>
      <c r="AL57" s="10">
        <v>-6.5199999999999994E-2</v>
      </c>
      <c r="AM57" s="10">
        <v>5.2200000000000003E-2</v>
      </c>
      <c r="AN57" s="10">
        <v>0.8102236592577301</v>
      </c>
      <c r="AO57" s="10">
        <v>0.78810000000000002</v>
      </c>
      <c r="AP57" s="10">
        <v>-2.9399999999999999E-2</v>
      </c>
      <c r="AQ57" s="10">
        <v>4.0800000000000003E-2</v>
      </c>
      <c r="AR57" s="10">
        <v>4.7840557805320936</v>
      </c>
      <c r="AS57" s="10">
        <v>4.7808999999999999</v>
      </c>
      <c r="AT57" s="10">
        <v>-4.7999999999999996E-3</v>
      </c>
      <c r="AU57" s="10">
        <v>5.1000000000000004E-3</v>
      </c>
      <c r="AV57" s="10">
        <v>-9.2802505421574866E-2</v>
      </c>
      <c r="AW57" s="10">
        <v>-0.1002</v>
      </c>
      <c r="AX57" s="10">
        <v>-1.1299999999999999E-2</v>
      </c>
      <c r="AY57" s="10">
        <v>1.26E-2</v>
      </c>
      <c r="AZ57" s="10">
        <v>0.16777140390523959</v>
      </c>
      <c r="BA57" s="10">
        <v>0.1772</v>
      </c>
      <c r="BB57" s="10">
        <v>-1.9E-2</v>
      </c>
      <c r="BC57" s="10">
        <v>1.6400000000000001E-2</v>
      </c>
      <c r="BD57" s="10">
        <v>0.73777613577778878</v>
      </c>
      <c r="BE57" s="10">
        <v>0.30270000000000002</v>
      </c>
      <c r="BF57" s="10">
        <v>-0.12690000000000001</v>
      </c>
      <c r="BG57" s="10">
        <v>0.14180000000000001</v>
      </c>
      <c r="BH57" s="13">
        <v>593.9969482421875</v>
      </c>
      <c r="BI57" s="11">
        <v>1.3976398782169119</v>
      </c>
      <c r="BJ57" s="13">
        <v>1897.9861708862879</v>
      </c>
      <c r="BK57" s="11">
        <v>0.54166272000179438</v>
      </c>
      <c r="BL57" s="13">
        <v>2491.9831191284752</v>
      </c>
      <c r="BM57" s="11">
        <v>0.9696512991093531</v>
      </c>
    </row>
    <row r="58" spans="1:65" ht="27" customHeight="1">
      <c r="A58" s="4">
        <v>56</v>
      </c>
      <c r="B58" s="7">
        <f t="shared" si="1"/>
        <v>0.80275000000000007</v>
      </c>
      <c r="C58" s="8">
        <v>3</v>
      </c>
      <c r="D58" s="8" t="s">
        <v>79</v>
      </c>
      <c r="E58" s="5" t="s">
        <v>71</v>
      </c>
      <c r="H58" s="5" t="s">
        <v>76</v>
      </c>
      <c r="I58" s="4">
        <v>0.80300000000000005</v>
      </c>
      <c r="J58" s="3" t="s">
        <v>80</v>
      </c>
      <c r="K58" s="5" t="s">
        <v>76</v>
      </c>
      <c r="L58" s="4">
        <v>0.80249999999999999</v>
      </c>
      <c r="M58" s="3" t="s">
        <v>80</v>
      </c>
      <c r="N58" s="6"/>
      <c r="O58" s="3" t="s">
        <v>92</v>
      </c>
      <c r="P58">
        <v>42.115665</v>
      </c>
      <c r="Q58">
        <v>-3.5808494</v>
      </c>
      <c r="R58">
        <v>10.130000000000001</v>
      </c>
      <c r="S58">
        <v>5.7000000000000002E-2</v>
      </c>
      <c r="T58" s="10">
        <v>-0.14679626852743191</v>
      </c>
      <c r="U58" s="10">
        <v>-0.13730000000000001</v>
      </c>
      <c r="V58" s="10">
        <v>-9.2999999999999992E-3</v>
      </c>
      <c r="W58" s="10">
        <v>1.78E-2</v>
      </c>
      <c r="X58" s="10">
        <v>0.1141679273093909</v>
      </c>
      <c r="Y58" s="10">
        <v>7.6200000000000004E-2</v>
      </c>
      <c r="Z58" s="10">
        <v>-3.0800000000000001E-2</v>
      </c>
      <c r="AA58" s="10">
        <v>3.2899999999999999E-2</v>
      </c>
      <c r="AB58" s="10">
        <v>-0.41450030444540742</v>
      </c>
      <c r="AC58" s="10">
        <v>-0.39710000000000001</v>
      </c>
      <c r="AD58" s="10">
        <v>-2.81E-2</v>
      </c>
      <c r="AE58" s="10">
        <v>2.8899999999999999E-2</v>
      </c>
      <c r="AF58" s="10">
        <v>413.08581209394919</v>
      </c>
      <c r="AG58" s="10">
        <v>314.67309999999998</v>
      </c>
      <c r="AH58" s="10">
        <v>-19.820399999999999</v>
      </c>
      <c r="AI58" s="10">
        <v>19.0107</v>
      </c>
      <c r="AJ58" s="10">
        <v>0.39916855767148318</v>
      </c>
      <c r="AK58" s="10">
        <v>0.43809999999999999</v>
      </c>
      <c r="AL58" s="10">
        <v>-2.5999999999999999E-2</v>
      </c>
      <c r="AM58" s="10">
        <v>2.8899999999999999E-2</v>
      </c>
      <c r="AN58" s="10">
        <v>0.88922311832233358</v>
      </c>
      <c r="AO58" s="10">
        <v>0.85960000000000003</v>
      </c>
      <c r="AP58" s="10">
        <v>-2.5000000000000001E-2</v>
      </c>
      <c r="AQ58" s="10">
        <v>2.3900000000000001E-2</v>
      </c>
      <c r="AR58" s="10">
        <v>4.8194481798551561</v>
      </c>
      <c r="AS58" s="10">
        <v>4.8219000000000003</v>
      </c>
      <c r="AT58" s="10">
        <v>-2.8E-3</v>
      </c>
      <c r="AU58" s="10">
        <v>2.8E-3</v>
      </c>
      <c r="AV58" s="10">
        <v>-3.5157000110651371E-2</v>
      </c>
      <c r="AW58" s="10">
        <v>-3.3599999999999998E-2</v>
      </c>
      <c r="AX58" s="10">
        <v>-8.6E-3</v>
      </c>
      <c r="AY58" s="10">
        <v>8.8000000000000005E-3</v>
      </c>
      <c r="AZ58" s="10">
        <v>-0.11969034872454069</v>
      </c>
      <c r="BA58" s="10">
        <v>-0.12820000000000001</v>
      </c>
      <c r="BB58" s="10">
        <v>-8.0999999999999996E-3</v>
      </c>
      <c r="BC58" s="10">
        <v>7.7999999999999996E-3</v>
      </c>
      <c r="BD58" s="10">
        <v>1.4565733867712971</v>
      </c>
      <c r="BE58" s="10">
        <v>1.0159</v>
      </c>
      <c r="BF58" s="10">
        <v>-9.6799999999999997E-2</v>
      </c>
      <c r="BG58" s="10">
        <v>0.1046</v>
      </c>
      <c r="BH58" s="13">
        <v>1259.867919921875</v>
      </c>
      <c r="BI58" s="11">
        <v>2.9367550580929489</v>
      </c>
      <c r="BJ58" s="13">
        <v>1295.9028214357741</v>
      </c>
      <c r="BK58" s="11">
        <v>0.73463878766200308</v>
      </c>
      <c r="BL58" s="13">
        <v>2555.7707413576491</v>
      </c>
      <c r="BM58" s="11">
        <v>1.835696922877476</v>
      </c>
    </row>
    <row r="59" spans="1:65" ht="27" customHeight="1">
      <c r="A59" s="4">
        <v>57</v>
      </c>
      <c r="B59" s="7">
        <f t="shared" si="1"/>
        <v>0.78100000000000003</v>
      </c>
      <c r="C59" s="8">
        <v>3</v>
      </c>
      <c r="D59" s="8" t="s">
        <v>79</v>
      </c>
      <c r="E59" s="5" t="s">
        <v>71</v>
      </c>
      <c r="H59" s="5" t="s">
        <v>76</v>
      </c>
      <c r="I59" s="4">
        <v>0.78100000000000003</v>
      </c>
      <c r="J59" s="3" t="s">
        <v>80</v>
      </c>
      <c r="K59" s="5" t="s">
        <v>76</v>
      </c>
      <c r="L59" s="4">
        <v>0.78100000000000003</v>
      </c>
      <c r="M59" s="3" t="s">
        <v>80</v>
      </c>
      <c r="N59" s="6"/>
      <c r="O59" s="3" t="s">
        <v>92</v>
      </c>
      <c r="P59">
        <v>42.076121000000001</v>
      </c>
      <c r="Q59">
        <v>-3.5661768</v>
      </c>
      <c r="R59">
        <v>9.9809999999999999</v>
      </c>
      <c r="S59">
        <v>6.9000000000000006E-2</v>
      </c>
      <c r="T59" s="10">
        <v>-0.14514741669572731</v>
      </c>
      <c r="U59" s="10">
        <v>-0.13730000000000001</v>
      </c>
      <c r="V59" s="10">
        <v>-9.1999999999999998E-3</v>
      </c>
      <c r="W59" s="10">
        <v>1.5900000000000001E-2</v>
      </c>
      <c r="X59" s="10">
        <v>-4.2147364193097739E-2</v>
      </c>
      <c r="Y59" s="10">
        <v>-4.9200000000000001E-2</v>
      </c>
      <c r="Z59" s="10">
        <v>-2.3300000000000001E-2</v>
      </c>
      <c r="AA59" s="10">
        <v>2.6200000000000001E-2</v>
      </c>
      <c r="AB59" s="10">
        <v>-0.34111759366202898</v>
      </c>
      <c r="AC59" s="10">
        <v>-0.34570000000000001</v>
      </c>
      <c r="AD59" s="10">
        <v>-3.4599999999999999E-2</v>
      </c>
      <c r="AE59" s="10">
        <v>3.3399999999999999E-2</v>
      </c>
      <c r="AF59" s="10">
        <v>430.37601137470688</v>
      </c>
      <c r="AG59" s="10">
        <v>404.81150000000002</v>
      </c>
      <c r="AH59" s="10">
        <v>-19.043399999999998</v>
      </c>
      <c r="AI59" s="10">
        <v>15.571899999999999</v>
      </c>
      <c r="AJ59" s="10">
        <v>0.56306678442109326</v>
      </c>
      <c r="AK59" s="10">
        <v>0.57310000000000005</v>
      </c>
      <c r="AL59" s="10">
        <v>-2.52E-2</v>
      </c>
      <c r="AM59" s="10">
        <v>2.7799999999999998E-2</v>
      </c>
      <c r="AN59" s="10">
        <v>0.54604970476310744</v>
      </c>
      <c r="AO59" s="10">
        <v>0.54430000000000001</v>
      </c>
      <c r="AP59" s="10">
        <v>-1.2200000000000001E-2</v>
      </c>
      <c r="AQ59" s="10">
        <v>1.24E-2</v>
      </c>
      <c r="AR59" s="10">
        <v>4.819115918126351</v>
      </c>
      <c r="AS59" s="10">
        <v>4.8215000000000003</v>
      </c>
      <c r="AT59" s="10">
        <v>-2.3E-3</v>
      </c>
      <c r="AU59" s="10">
        <v>2.3999999999999998E-3</v>
      </c>
      <c r="AV59" s="10">
        <v>-0.31180875779208028</v>
      </c>
      <c r="AW59" s="10">
        <v>-0.30370000000000003</v>
      </c>
      <c r="AX59" s="10">
        <v>-1.24E-2</v>
      </c>
      <c r="AY59" s="10">
        <v>1.2200000000000001E-2</v>
      </c>
      <c r="AZ59" s="10">
        <v>-0.19290479812860811</v>
      </c>
      <c r="BA59" s="10">
        <v>-0.1961</v>
      </c>
      <c r="BB59" s="10">
        <v>-1.2800000000000001E-2</v>
      </c>
      <c r="BC59" s="10">
        <v>1.37E-2</v>
      </c>
      <c r="BD59" s="10">
        <v>0.70500385057482629</v>
      </c>
      <c r="BE59" s="10">
        <v>0.62629999999999997</v>
      </c>
      <c r="BF59" s="10">
        <v>-6.4600000000000005E-2</v>
      </c>
      <c r="BG59" s="10">
        <v>6.8000000000000005E-2</v>
      </c>
      <c r="BH59" s="13">
        <v>1213.438842773438</v>
      </c>
      <c r="BI59" s="11">
        <v>2.8417771493523132</v>
      </c>
      <c r="BJ59" s="13">
        <v>1060.4495347913401</v>
      </c>
      <c r="BK59" s="11">
        <v>0.60321361478460733</v>
      </c>
      <c r="BL59" s="13">
        <v>2273.8883775647769</v>
      </c>
      <c r="BM59" s="11">
        <v>1.7224953820684601</v>
      </c>
    </row>
    <row r="60" spans="1:65" ht="27" customHeight="1">
      <c r="A60" s="4">
        <v>58</v>
      </c>
      <c r="B60" s="7">
        <f t="shared" si="1"/>
        <v>0.65900000000000003</v>
      </c>
      <c r="C60" s="8">
        <v>3</v>
      </c>
      <c r="D60" s="8" t="s">
        <v>87</v>
      </c>
      <c r="E60" s="5" t="s">
        <v>71</v>
      </c>
      <c r="H60" s="5" t="s">
        <v>71</v>
      </c>
      <c r="I60" s="4"/>
      <c r="K60" s="5" t="s">
        <v>76</v>
      </c>
      <c r="L60" s="4">
        <v>0.65900000000000003</v>
      </c>
      <c r="M60" s="3" t="s">
        <v>80</v>
      </c>
      <c r="N60" s="6"/>
      <c r="O60" s="3" t="s">
        <v>92</v>
      </c>
      <c r="P60">
        <v>42.112405000000003</v>
      </c>
      <c r="Q60">
        <v>-3.5890243000000002</v>
      </c>
      <c r="R60">
        <v>9.4450000000000003</v>
      </c>
      <c r="S60">
        <v>3.1E-2</v>
      </c>
      <c r="T60" s="10">
        <v>2.9033119239805501E-3</v>
      </c>
      <c r="U60" s="10">
        <v>2.23E-2</v>
      </c>
      <c r="V60" s="10">
        <v>-2.8799999999999999E-2</v>
      </c>
      <c r="W60" s="10">
        <v>5.21E-2</v>
      </c>
      <c r="X60" s="10">
        <v>-6.9818931814302876E-2</v>
      </c>
      <c r="Y60" s="10">
        <v>-7.9200000000000007E-2</v>
      </c>
      <c r="Z60" s="10">
        <v>-3.8800000000000001E-2</v>
      </c>
      <c r="AA60" s="10">
        <v>3.6999999999999998E-2</v>
      </c>
      <c r="AB60" s="10">
        <v>0.85749277424703374</v>
      </c>
      <c r="AC60" s="10">
        <v>1.2547999999999999</v>
      </c>
      <c r="AD60" s="10">
        <v>-0.44919999999999999</v>
      </c>
      <c r="AE60" s="10">
        <v>0.51970000000000005</v>
      </c>
      <c r="AF60" s="10">
        <v>83.258046607087806</v>
      </c>
      <c r="AG60" s="10">
        <v>98.322000000000003</v>
      </c>
      <c r="AH60" s="10">
        <v>-11.9603</v>
      </c>
      <c r="AI60" s="10">
        <v>14.053599999999999</v>
      </c>
      <c r="AJ60" s="10">
        <v>0.98194050510198339</v>
      </c>
      <c r="AK60" s="10">
        <v>0.90559999999999996</v>
      </c>
      <c r="AL60" s="10">
        <v>-8.1900000000000001E-2</v>
      </c>
      <c r="AM60" s="10">
        <v>6.08E-2</v>
      </c>
      <c r="AN60" s="10">
        <v>0.46170851159741139</v>
      </c>
      <c r="AO60" s="10">
        <v>0.4824</v>
      </c>
      <c r="AP60" s="10">
        <v>-1.6799999999999999E-2</v>
      </c>
      <c r="AQ60" s="10">
        <v>2.3900000000000001E-2</v>
      </c>
      <c r="AR60" s="10">
        <v>4.3573926843875634</v>
      </c>
      <c r="AS60" s="10">
        <v>4.3574999999999999</v>
      </c>
      <c r="AT60" s="10">
        <v>-6.1000000000000004E-3</v>
      </c>
      <c r="AU60" s="10">
        <v>6.1000000000000004E-3</v>
      </c>
      <c r="AV60" s="10">
        <v>0.55133746982085174</v>
      </c>
      <c r="AW60" s="10">
        <v>0.67230000000000001</v>
      </c>
      <c r="AX60" s="10">
        <v>-0.1588</v>
      </c>
      <c r="AY60" s="10">
        <v>6.25E-2</v>
      </c>
      <c r="AZ60" s="10">
        <v>-0.49982736707657072</v>
      </c>
      <c r="BA60" s="10">
        <v>-0.2203</v>
      </c>
      <c r="BB60" s="10">
        <v>-0.26369999999999999</v>
      </c>
      <c r="BC60" s="10">
        <v>0.33779999999999999</v>
      </c>
      <c r="BD60" s="10">
        <v>0.31817921848048852</v>
      </c>
      <c r="BE60" s="10">
        <v>1.2316</v>
      </c>
      <c r="BF60" s="10">
        <v>-0.61839999999999995</v>
      </c>
      <c r="BG60" s="10">
        <v>0.52749999999999997</v>
      </c>
      <c r="BH60" s="13">
        <v>741.5548095703125</v>
      </c>
      <c r="BI60" s="11">
        <v>1.7285659896743879</v>
      </c>
      <c r="BJ60" s="13">
        <v>879.95437997179226</v>
      </c>
      <c r="BK60" s="11">
        <v>0.4988403514579321</v>
      </c>
      <c r="BL60" s="13">
        <v>1621.5091895421051</v>
      </c>
      <c r="BM60" s="11">
        <v>1.11370317056616</v>
      </c>
    </row>
    <row r="61" spans="1:65" ht="27" customHeight="1">
      <c r="A61" s="4">
        <v>59</v>
      </c>
      <c r="B61" s="7">
        <f t="shared" si="1"/>
        <v>0.82050000000000001</v>
      </c>
      <c r="C61" s="8">
        <v>3</v>
      </c>
      <c r="D61" s="8" t="s">
        <v>74</v>
      </c>
      <c r="E61" s="5" t="s">
        <v>71</v>
      </c>
      <c r="H61" s="5" t="s">
        <v>74</v>
      </c>
      <c r="I61" s="4">
        <v>0.82</v>
      </c>
      <c r="J61" s="3" t="s">
        <v>95</v>
      </c>
      <c r="K61" s="5" t="s">
        <v>74</v>
      </c>
      <c r="L61" s="4">
        <v>0.82099999999999995</v>
      </c>
      <c r="M61" s="3" t="s">
        <v>95</v>
      </c>
      <c r="N61" s="6"/>
      <c r="P61">
        <v>42.119855000000001</v>
      </c>
      <c r="Q61">
        <v>-3.5956342000000001</v>
      </c>
      <c r="R61">
        <v>9.4920000000000009</v>
      </c>
      <c r="S61">
        <v>2.5999999999999999E-2</v>
      </c>
      <c r="T61" s="10">
        <v>-0.1473822334741966</v>
      </c>
      <c r="U61" s="10">
        <v>-0.14849999999999999</v>
      </c>
      <c r="V61" s="10">
        <v>-1.1000000000000001E-3</v>
      </c>
      <c r="W61" s="10">
        <v>2.5999999999999999E-3</v>
      </c>
      <c r="X61" s="10">
        <v>2.0659160615065231E-3</v>
      </c>
      <c r="Y61" s="10">
        <v>2.07E-2</v>
      </c>
      <c r="Z61" s="10">
        <v>-9.9000000000000008E-3</v>
      </c>
      <c r="AA61" s="10">
        <v>1.04E-2</v>
      </c>
      <c r="AB61" s="10">
        <v>2.7030975203999361</v>
      </c>
      <c r="AC61" s="10">
        <v>2.7073</v>
      </c>
      <c r="AD61" s="10">
        <v>-2.3E-2</v>
      </c>
      <c r="AE61" s="10">
        <v>2.3599999999999999E-2</v>
      </c>
      <c r="AF61" s="10">
        <v>232.44962055487349</v>
      </c>
      <c r="AG61" s="10">
        <v>202.25460000000001</v>
      </c>
      <c r="AH61" s="10">
        <v>-8.8893000000000004</v>
      </c>
      <c r="AI61" s="10">
        <v>9.1189</v>
      </c>
      <c r="AJ61" s="10">
        <v>0.89790049751086787</v>
      </c>
      <c r="AK61" s="10">
        <v>0.86570000000000003</v>
      </c>
      <c r="AL61" s="10">
        <v>-1.46E-2</v>
      </c>
      <c r="AM61" s="10">
        <v>1.24E-2</v>
      </c>
      <c r="AN61" s="10">
        <v>0.26483511511711488</v>
      </c>
      <c r="AO61" s="10">
        <v>0.26960000000000001</v>
      </c>
      <c r="AP61" s="10">
        <v>-3.8999999999999998E-3</v>
      </c>
      <c r="AQ61" s="10">
        <v>4.0000000000000001E-3</v>
      </c>
      <c r="AR61" s="10">
        <v>4.7354163872801323</v>
      </c>
      <c r="AS61" s="10">
        <v>4.7350000000000003</v>
      </c>
      <c r="AT61" s="10">
        <v>-2.3999999999999998E-3</v>
      </c>
      <c r="AU61" s="10">
        <v>2.3999999999999998E-3</v>
      </c>
      <c r="AV61" s="10">
        <v>0.85311501892263952</v>
      </c>
      <c r="AW61" s="10">
        <v>0.85160000000000002</v>
      </c>
      <c r="AX61" s="10">
        <v>-1.43E-2</v>
      </c>
      <c r="AY61" s="10">
        <v>1.43E-2</v>
      </c>
      <c r="AZ61" s="10">
        <v>-3.2869250442479681E-2</v>
      </c>
      <c r="BA61" s="10">
        <v>-2.2499999999999999E-2</v>
      </c>
      <c r="BB61" s="10">
        <v>-2.0299999999999999E-2</v>
      </c>
      <c r="BC61" s="10">
        <v>2.07E-2</v>
      </c>
      <c r="BD61" s="10">
        <v>0.16036315504128629</v>
      </c>
      <c r="BE61" s="10">
        <v>0.15590000000000001</v>
      </c>
      <c r="BF61" s="10">
        <v>-1.15E-2</v>
      </c>
      <c r="BG61" s="10">
        <v>1.14E-2</v>
      </c>
      <c r="BH61" s="13">
        <v>1555.573486328125</v>
      </c>
      <c r="BI61" s="11">
        <v>3.7483698465737949</v>
      </c>
      <c r="BJ61" s="13">
        <v>14678.23460860225</v>
      </c>
      <c r="BK61" s="11">
        <v>2.1332063453522441</v>
      </c>
      <c r="BL61" s="13">
        <v>16233.808094930369</v>
      </c>
      <c r="BM61" s="11">
        <v>2.9407880959630188</v>
      </c>
    </row>
    <row r="62" spans="1:65" ht="27" customHeight="1">
      <c r="A62" s="4">
        <v>60</v>
      </c>
      <c r="B62" s="7">
        <f t="shared" si="1"/>
        <v>0.66033333333333344</v>
      </c>
      <c r="C62" s="8">
        <v>3</v>
      </c>
      <c r="D62" s="8" t="s">
        <v>74</v>
      </c>
      <c r="E62" s="5" t="s">
        <v>74</v>
      </c>
      <c r="F62" s="4">
        <v>0.66100000000000003</v>
      </c>
      <c r="G62" s="3" t="s">
        <v>86</v>
      </c>
      <c r="H62" s="5" t="s">
        <v>74</v>
      </c>
      <c r="I62" s="4">
        <v>0.66</v>
      </c>
      <c r="J62" s="3" t="s">
        <v>75</v>
      </c>
      <c r="K62" s="5" t="s">
        <v>74</v>
      </c>
      <c r="L62" s="4">
        <v>0.66</v>
      </c>
      <c r="M62" s="3" t="s">
        <v>75</v>
      </c>
      <c r="N62" s="6"/>
      <c r="P62">
        <v>42.110742000000002</v>
      </c>
      <c r="Q62">
        <v>-3.5953900000000001</v>
      </c>
      <c r="R62">
        <v>9.6259999999999994</v>
      </c>
      <c r="S62">
        <v>0.06</v>
      </c>
      <c r="T62" s="10">
        <v>1.324413779234471E-2</v>
      </c>
      <c r="U62" s="10">
        <v>2.1100000000000001E-2</v>
      </c>
      <c r="V62" s="10">
        <v>-1.2699999999999999E-2</v>
      </c>
      <c r="W62" s="10">
        <v>1.54E-2</v>
      </c>
      <c r="X62" s="10">
        <v>-4.3231694035642809E-3</v>
      </c>
      <c r="Y62" s="10">
        <v>5.33E-2</v>
      </c>
      <c r="Z62" s="10">
        <v>-3.9300000000000002E-2</v>
      </c>
      <c r="AA62" s="10">
        <v>4.8500000000000001E-2</v>
      </c>
      <c r="AB62" s="10">
        <v>2.348944051214056</v>
      </c>
      <c r="AC62" s="10">
        <v>2.3174000000000001</v>
      </c>
      <c r="AD62" s="10">
        <v>-6.4500000000000002E-2</v>
      </c>
      <c r="AE62" s="10">
        <v>6.4899999999999999E-2</v>
      </c>
      <c r="AF62" s="10">
        <v>106.14975212671089</v>
      </c>
      <c r="AG62" s="10">
        <v>112.2634</v>
      </c>
      <c r="AH62" s="10">
        <v>-13.8263</v>
      </c>
      <c r="AI62" s="10">
        <v>15.6594</v>
      </c>
      <c r="AJ62" s="10">
        <v>0.9683265047070343</v>
      </c>
      <c r="AK62" s="10">
        <v>0.84470000000000001</v>
      </c>
      <c r="AL62" s="10">
        <v>-8.09E-2</v>
      </c>
      <c r="AM62" s="10">
        <v>7.2300000000000003E-2</v>
      </c>
      <c r="AN62" s="10">
        <v>0.4710954000479487</v>
      </c>
      <c r="AO62" s="10">
        <v>0.50109999999999999</v>
      </c>
      <c r="AP62" s="10">
        <v>-2.01E-2</v>
      </c>
      <c r="AQ62" s="10">
        <v>2.53E-2</v>
      </c>
      <c r="AR62" s="10">
        <v>4.6252977867949667</v>
      </c>
      <c r="AS62" s="10">
        <v>4.6246</v>
      </c>
      <c r="AT62" s="10">
        <v>-3.5999999999999999E-3</v>
      </c>
      <c r="AU62" s="10">
        <v>3.5999999999999999E-3</v>
      </c>
      <c r="AV62" s="10">
        <v>0.36418460295726529</v>
      </c>
      <c r="AW62" s="10">
        <v>0.36449999999999999</v>
      </c>
      <c r="AX62" s="10">
        <v>-9.4999999999999998E-3</v>
      </c>
      <c r="AY62" s="10">
        <v>9.1999999999999998E-3</v>
      </c>
      <c r="AZ62" s="10">
        <v>5.8124127039373308E-2</v>
      </c>
      <c r="BA62" s="10">
        <v>4.0800000000000003E-2</v>
      </c>
      <c r="BB62" s="10">
        <v>-2.1399999999999999E-2</v>
      </c>
      <c r="BC62" s="10">
        <v>2.3199999999999998E-2</v>
      </c>
      <c r="BD62" s="10">
        <v>0.12136192936140321</v>
      </c>
      <c r="BE62" s="10">
        <v>1.2076</v>
      </c>
      <c r="BF62" s="10">
        <v>-0.52200000000000002</v>
      </c>
      <c r="BG62" s="10">
        <v>0.46029999999999999</v>
      </c>
      <c r="BH62" s="13">
        <v>1541.30419921875</v>
      </c>
      <c r="BI62" s="11">
        <v>3.661055105032661</v>
      </c>
      <c r="BJ62" s="13">
        <v>4492.2808646381081</v>
      </c>
      <c r="BK62" s="11">
        <v>0.86059020395366059</v>
      </c>
      <c r="BL62" s="13">
        <v>6033.5850638568581</v>
      </c>
      <c r="BM62" s="11">
        <v>2.2608226544931611</v>
      </c>
    </row>
    <row r="63" spans="1:65" ht="27" customHeight="1">
      <c r="A63" s="4">
        <v>61</v>
      </c>
      <c r="B63" s="7">
        <f t="shared" si="1"/>
        <v>0.51449999999999996</v>
      </c>
      <c r="C63" s="8">
        <v>3</v>
      </c>
      <c r="D63" s="8" t="s">
        <v>87</v>
      </c>
      <c r="E63" s="5" t="s">
        <v>73</v>
      </c>
      <c r="H63" s="5" t="s">
        <v>73</v>
      </c>
      <c r="I63" s="4"/>
      <c r="K63" s="5" t="s">
        <v>76</v>
      </c>
      <c r="L63" s="4">
        <v>0.51449999999999996</v>
      </c>
      <c r="M63" s="3" t="s">
        <v>80</v>
      </c>
      <c r="N63" s="6"/>
      <c r="O63" s="3" t="s">
        <v>92</v>
      </c>
      <c r="P63">
        <v>42.108370999999998</v>
      </c>
      <c r="Q63">
        <v>-3.5979535999999999</v>
      </c>
      <c r="R63">
        <v>8.9700000000000006</v>
      </c>
      <c r="S63">
        <v>0.109</v>
      </c>
      <c r="T63" s="10">
        <v>0.13266789650237459</v>
      </c>
      <c r="U63" s="10">
        <v>9.4100000000000003E-2</v>
      </c>
      <c r="V63" s="10">
        <v>-7.6999999999999999E-2</v>
      </c>
      <c r="W63" s="10">
        <v>4.1200000000000001E-2</v>
      </c>
      <c r="X63" s="10">
        <v>-1.4374080335018051E-2</v>
      </c>
      <c r="Y63" s="10">
        <v>-2.1899999999999999E-2</v>
      </c>
      <c r="Z63" s="10">
        <v>-7.9799999999999996E-2</v>
      </c>
      <c r="AA63" s="10">
        <v>9.8599999999999993E-2</v>
      </c>
      <c r="AB63" s="10">
        <v>-0.57482101506195393</v>
      </c>
      <c r="AC63" s="10">
        <v>-0.5282</v>
      </c>
      <c r="AD63" s="10">
        <v>-7.3099999999999998E-2</v>
      </c>
      <c r="AE63" s="10">
        <v>8.48E-2</v>
      </c>
      <c r="AF63" s="10">
        <v>121.63467768846419</v>
      </c>
      <c r="AG63" s="10">
        <v>93.772000000000006</v>
      </c>
      <c r="AH63" s="10">
        <v>-9.7074999999999996</v>
      </c>
      <c r="AI63" s="10">
        <v>11.352600000000001</v>
      </c>
      <c r="AJ63" s="10">
        <v>0.28471590882063702</v>
      </c>
      <c r="AK63" s="10">
        <v>0.27500000000000002</v>
      </c>
      <c r="AL63" s="10">
        <v>-6.0100000000000001E-2</v>
      </c>
      <c r="AM63" s="10">
        <v>5.7200000000000001E-2</v>
      </c>
      <c r="AN63" s="10">
        <v>0.66110588227255462</v>
      </c>
      <c r="AO63" s="10">
        <v>0.67759999999999998</v>
      </c>
      <c r="AP63" s="10">
        <v>-5.2999999999999999E-2</v>
      </c>
      <c r="AQ63" s="10">
        <v>6.6199999999999995E-2</v>
      </c>
      <c r="AR63" s="10">
        <v>4.2877908087259087</v>
      </c>
      <c r="AS63" s="10">
        <v>4.2915999999999999</v>
      </c>
      <c r="AT63" s="10">
        <v>-6.3E-3</v>
      </c>
      <c r="AU63" s="10">
        <v>6.4000000000000003E-3</v>
      </c>
      <c r="AV63" s="10">
        <v>-0.210126981480981</v>
      </c>
      <c r="AW63" s="10">
        <v>-0.1825</v>
      </c>
      <c r="AX63" s="10">
        <v>-3.0599999999999999E-2</v>
      </c>
      <c r="AY63" s="10">
        <v>3.7699999999999997E-2</v>
      </c>
      <c r="AZ63" s="10">
        <v>-0.24696854188148179</v>
      </c>
      <c r="BA63" s="10">
        <v>-0.23219999999999999</v>
      </c>
      <c r="BB63" s="10">
        <v>-4.2000000000000003E-2</v>
      </c>
      <c r="BC63" s="10">
        <v>3.9899999999999998E-2</v>
      </c>
      <c r="BD63" s="10">
        <v>0.3602118461134855</v>
      </c>
      <c r="BE63" s="10">
        <v>0.12470000000000001</v>
      </c>
      <c r="BF63" s="10">
        <v>-8.2000000000000003E-2</v>
      </c>
      <c r="BG63" s="10">
        <v>0.15529999999999999</v>
      </c>
      <c r="BH63" s="13">
        <v>890.695556640625</v>
      </c>
      <c r="BI63" s="11">
        <v>2.0762134187427161</v>
      </c>
      <c r="BJ63" s="13">
        <v>1367.9861072294709</v>
      </c>
      <c r="BK63" s="11">
        <v>0.77550232836137845</v>
      </c>
      <c r="BL63" s="13">
        <v>2258.6816638700971</v>
      </c>
      <c r="BM63" s="11">
        <v>1.4258578735520471</v>
      </c>
    </row>
    <row r="64" spans="1:65" ht="27" customHeight="1">
      <c r="A64" s="4">
        <v>62</v>
      </c>
      <c r="B64" s="7" t="str">
        <f t="shared" si="1"/>
        <v/>
      </c>
      <c r="C64" s="8"/>
      <c r="D64" s="8" t="s">
        <v>72</v>
      </c>
      <c r="E64" s="5" t="s">
        <v>73</v>
      </c>
      <c r="H64" s="5" t="s">
        <v>73</v>
      </c>
      <c r="I64" s="4"/>
      <c r="K64" s="5" t="s">
        <v>73</v>
      </c>
      <c r="N64" s="6"/>
      <c r="P64">
        <v>42.112882999999997</v>
      </c>
      <c r="Q64">
        <v>-3.6044437</v>
      </c>
    </row>
    <row r="65" spans="1:65" ht="27" customHeight="1">
      <c r="A65" s="4">
        <v>63</v>
      </c>
      <c r="B65" s="7">
        <f t="shared" si="1"/>
        <v>0.51400000000000001</v>
      </c>
      <c r="C65" s="8">
        <v>3</v>
      </c>
      <c r="D65" s="8" t="s">
        <v>74</v>
      </c>
      <c r="E65" s="5" t="s">
        <v>71</v>
      </c>
      <c r="H65" s="5" t="s">
        <v>74</v>
      </c>
      <c r="I65" s="4">
        <v>0.51400000000000001</v>
      </c>
      <c r="J65" s="3" t="s">
        <v>78</v>
      </c>
      <c r="K65" s="5" t="s">
        <v>74</v>
      </c>
      <c r="L65" s="4">
        <v>0.51400000000000001</v>
      </c>
      <c r="M65" s="3" t="s">
        <v>78</v>
      </c>
      <c r="N65" s="6"/>
      <c r="P65">
        <v>42.096226999999999</v>
      </c>
      <c r="Q65">
        <v>-3.5994258000000001</v>
      </c>
      <c r="R65">
        <v>9.1869999999999994</v>
      </c>
      <c r="S65">
        <v>7.5999999999999998E-2</v>
      </c>
      <c r="T65" s="10">
        <v>-0.14929179444908139</v>
      </c>
      <c r="U65" s="10">
        <v>-0.1285</v>
      </c>
      <c r="V65" s="10">
        <v>-1.6E-2</v>
      </c>
      <c r="W65" s="10">
        <v>3.0099999999999998E-2</v>
      </c>
      <c r="X65" s="10">
        <v>0.14931991477201029</v>
      </c>
      <c r="Y65" s="10">
        <v>0.14380000000000001</v>
      </c>
      <c r="Z65" s="10">
        <v>-9.4999999999999998E-3</v>
      </c>
      <c r="AA65" s="10">
        <v>4.5999999999999999E-3</v>
      </c>
      <c r="AB65" s="10">
        <v>-1.5246611433192709</v>
      </c>
      <c r="AC65" s="10">
        <v>-1.5368999999999999</v>
      </c>
      <c r="AD65" s="10">
        <v>-1.5299999999999999E-2</v>
      </c>
      <c r="AE65" s="10">
        <v>1.17E-2</v>
      </c>
      <c r="AF65" s="10">
        <v>147.09956977722581</v>
      </c>
      <c r="AG65" s="10">
        <v>118.2269</v>
      </c>
      <c r="AH65" s="10">
        <v>-7.2512999999999996</v>
      </c>
      <c r="AI65" s="10">
        <v>9.1556999999999995</v>
      </c>
      <c r="AJ65" s="10">
        <v>0.41066690354380803</v>
      </c>
      <c r="AK65" s="10">
        <v>0.39340000000000003</v>
      </c>
      <c r="AL65" s="10">
        <v>-2.6100000000000002E-2</v>
      </c>
      <c r="AM65" s="10">
        <v>1.7600000000000001E-2</v>
      </c>
      <c r="AN65" s="10">
        <v>0.67106864716356496</v>
      </c>
      <c r="AO65" s="10">
        <v>0.68920000000000003</v>
      </c>
      <c r="AP65" s="10">
        <v>-1.34E-2</v>
      </c>
      <c r="AQ65" s="10">
        <v>2.1100000000000001E-2</v>
      </c>
      <c r="AR65" s="10">
        <v>4.7550342364876634</v>
      </c>
      <c r="AS65" s="10">
        <v>4.7534999999999998</v>
      </c>
      <c r="AT65" s="10">
        <v>-3.0999999999999999E-3</v>
      </c>
      <c r="AU65" s="10">
        <v>3.2000000000000002E-3</v>
      </c>
      <c r="AV65" s="10">
        <v>-0.30155441097961783</v>
      </c>
      <c r="AW65" s="10">
        <v>-0.29289999999999999</v>
      </c>
      <c r="AX65" s="10">
        <v>-7.7999999999999996E-3</v>
      </c>
      <c r="AY65" s="10">
        <v>8.0000000000000002E-3</v>
      </c>
      <c r="AZ65" s="10">
        <v>0.1215065764874579</v>
      </c>
      <c r="BA65" s="10">
        <v>0.1162</v>
      </c>
      <c r="BB65" s="10">
        <v>-7.7000000000000002E-3</v>
      </c>
      <c r="BC65" s="10">
        <v>6.6E-3</v>
      </c>
      <c r="BD65" s="10">
        <v>0.28168956008105378</v>
      </c>
      <c r="BE65" s="10">
        <v>6.7799999999999999E-2</v>
      </c>
      <c r="BF65" s="10">
        <v>-4.1700000000000001E-2</v>
      </c>
      <c r="BG65" s="10">
        <v>8.0199999999999994E-2</v>
      </c>
      <c r="BH65" s="13">
        <v>1717.912109375</v>
      </c>
      <c r="BI65" s="11">
        <v>4.0421461397058822</v>
      </c>
      <c r="BJ65" s="13">
        <v>1909.010257721977</v>
      </c>
      <c r="BK65" s="11">
        <v>0.54480886350513058</v>
      </c>
      <c r="BL65" s="13">
        <v>3626.9223670969782</v>
      </c>
      <c r="BM65" s="11">
        <v>2.2934775016055058</v>
      </c>
    </row>
    <row r="66" spans="1:65" ht="27" customHeight="1">
      <c r="A66" s="4">
        <v>64</v>
      </c>
      <c r="B66" s="7">
        <f t="shared" si="1"/>
        <v>0.80300000000000005</v>
      </c>
      <c r="C66" s="8">
        <v>3</v>
      </c>
      <c r="D66" s="8" t="s">
        <v>79</v>
      </c>
      <c r="E66" s="5" t="s">
        <v>71</v>
      </c>
      <c r="H66" s="5" t="s">
        <v>76</v>
      </c>
      <c r="I66" s="4">
        <v>0.80400000000000005</v>
      </c>
      <c r="J66" s="3" t="s">
        <v>77</v>
      </c>
      <c r="K66" s="5" t="s">
        <v>76</v>
      </c>
      <c r="L66" s="4">
        <v>0.80200000000000005</v>
      </c>
      <c r="M66" s="3" t="s">
        <v>77</v>
      </c>
      <c r="N66" s="6"/>
      <c r="P66">
        <v>42.099111000000001</v>
      </c>
      <c r="Q66">
        <v>-3.6056083999999999</v>
      </c>
      <c r="R66">
        <v>8.9160000000000004</v>
      </c>
      <c r="S66">
        <v>0.129</v>
      </c>
      <c r="T66" s="10">
        <v>-0.14663605475997979</v>
      </c>
      <c r="U66" s="10">
        <v>-0.1394</v>
      </c>
      <c r="V66" s="10">
        <v>-7.6E-3</v>
      </c>
      <c r="W66" s="10">
        <v>1.4800000000000001E-2</v>
      </c>
      <c r="X66" s="10">
        <v>-0.14926626767414011</v>
      </c>
      <c r="Y66" s="10">
        <v>-0.14180000000000001</v>
      </c>
      <c r="Z66" s="10">
        <v>-5.8999999999999999E-3</v>
      </c>
      <c r="AA66" s="10">
        <v>1.0800000000000001E-2</v>
      </c>
      <c r="AB66" s="10">
        <v>3.067366159824148</v>
      </c>
      <c r="AC66" s="10">
        <v>3.0129000000000001</v>
      </c>
      <c r="AD66" s="10">
        <v>-4.65E-2</v>
      </c>
      <c r="AE66" s="10">
        <v>4.7600000000000003E-2</v>
      </c>
      <c r="AF66" s="10">
        <v>107.3046713425842</v>
      </c>
      <c r="AG66" s="10">
        <v>106.255</v>
      </c>
      <c r="AH66" s="10">
        <v>-6.2845000000000004</v>
      </c>
      <c r="AI66" s="10">
        <v>6.7222999999999997</v>
      </c>
      <c r="AJ66" s="10">
        <v>0.72354517340012225</v>
      </c>
      <c r="AK66" s="10">
        <v>0.71919999999999995</v>
      </c>
      <c r="AL66" s="10">
        <v>-3.2899999999999999E-2</v>
      </c>
      <c r="AM66" s="10">
        <v>3.4599999999999999E-2</v>
      </c>
      <c r="AN66" s="10">
        <v>0.49297949494278442</v>
      </c>
      <c r="AO66" s="10">
        <v>0.49419999999999997</v>
      </c>
      <c r="AP66" s="10">
        <v>-1.52E-2</v>
      </c>
      <c r="AQ66" s="10">
        <v>1.6400000000000001E-2</v>
      </c>
      <c r="AR66" s="10">
        <v>4.1229803941001659</v>
      </c>
      <c r="AS66" s="10">
        <v>4.1220999999999997</v>
      </c>
      <c r="AT66" s="10">
        <v>-8.6999999999999994E-3</v>
      </c>
      <c r="AU66" s="10">
        <v>8.5000000000000006E-3</v>
      </c>
      <c r="AV66" s="10">
        <v>8.8229137636227861E-2</v>
      </c>
      <c r="AW66" s="10">
        <v>0.1242</v>
      </c>
      <c r="AX66" s="10">
        <v>-2.69E-2</v>
      </c>
      <c r="AY66" s="10">
        <v>2.6800000000000001E-2</v>
      </c>
      <c r="AZ66" s="10">
        <v>0.36836813145178299</v>
      </c>
      <c r="BA66" s="10">
        <v>0.36430000000000001</v>
      </c>
      <c r="BB66" s="10">
        <v>-1.9699999999999999E-2</v>
      </c>
      <c r="BC66" s="10">
        <v>2.18E-2</v>
      </c>
      <c r="BD66" s="10">
        <v>5.8591371727888933E-2</v>
      </c>
      <c r="BE66" s="10">
        <v>5.6000000000000001E-2</v>
      </c>
      <c r="BF66" s="10">
        <v>-3.2599999999999997E-2</v>
      </c>
      <c r="BG66" s="10">
        <v>5.8200000000000002E-2</v>
      </c>
      <c r="BH66" s="13">
        <v>809.1680908203125</v>
      </c>
      <c r="BI66" s="11">
        <v>1.9039249195772061</v>
      </c>
      <c r="BJ66" s="13">
        <v>7129.5567421893629</v>
      </c>
      <c r="BK66" s="11">
        <v>2.0580890990863239</v>
      </c>
      <c r="BL66" s="13">
        <v>7938.7248330096754</v>
      </c>
      <c r="BM66" s="11">
        <v>1.9810070093317651</v>
      </c>
    </row>
    <row r="67" spans="1:65" ht="27" customHeight="1">
      <c r="A67" s="4">
        <v>65</v>
      </c>
      <c r="B67" s="7">
        <f t="shared" ref="B67:B98" si="2">IFERROR(AVERAGE(F67,L67,I67),"")</f>
        <v>0.84050000000000002</v>
      </c>
      <c r="C67" s="8">
        <v>3</v>
      </c>
      <c r="D67" s="8" t="s">
        <v>74</v>
      </c>
      <c r="E67" s="5" t="s">
        <v>71</v>
      </c>
      <c r="H67" s="5" t="s">
        <v>74</v>
      </c>
      <c r="I67" s="4">
        <v>0.84</v>
      </c>
      <c r="J67" s="3" t="s">
        <v>94</v>
      </c>
      <c r="K67" s="5" t="s">
        <v>74</v>
      </c>
      <c r="L67" s="4">
        <v>0.84099999999999997</v>
      </c>
      <c r="M67" s="3" t="s">
        <v>94</v>
      </c>
      <c r="N67" s="6"/>
      <c r="P67">
        <v>42.153058000000001</v>
      </c>
      <c r="Q67">
        <v>-3.6332447999999999</v>
      </c>
      <c r="R67">
        <v>9.5679999999999996</v>
      </c>
      <c r="S67">
        <v>0.13100000000000001</v>
      </c>
      <c r="T67" s="10">
        <v>-7.5318892672225191E-2</v>
      </c>
      <c r="U67" s="10">
        <v>-5.3199999999999997E-2</v>
      </c>
      <c r="V67" s="10">
        <v>-3.0200000000000001E-2</v>
      </c>
      <c r="W67" s="10">
        <v>2.41E-2</v>
      </c>
      <c r="X67" s="10">
        <v>-9.319544492224896E-2</v>
      </c>
      <c r="Y67" s="10">
        <v>-8.8300000000000003E-2</v>
      </c>
      <c r="Z67" s="10">
        <v>-3.3399999999999999E-2</v>
      </c>
      <c r="AA67" s="10">
        <v>2.9399999999999999E-2</v>
      </c>
      <c r="AB67" s="10">
        <v>0.45217325580614842</v>
      </c>
      <c r="AC67" s="10">
        <v>0.499</v>
      </c>
      <c r="AD67" s="10">
        <v>-7.6899999999999996E-2</v>
      </c>
      <c r="AE67" s="10">
        <v>8.0799999999999997E-2</v>
      </c>
      <c r="AF67" s="10">
        <v>99.443610960865243</v>
      </c>
      <c r="AG67" s="10">
        <v>105.45189999999999</v>
      </c>
      <c r="AH67" s="10">
        <v>-10.8066</v>
      </c>
      <c r="AI67" s="10">
        <v>14.588699999999999</v>
      </c>
      <c r="AJ67" s="10">
        <v>0.75479195980894631</v>
      </c>
      <c r="AK67" s="10">
        <v>0.78969999999999996</v>
      </c>
      <c r="AL67" s="10">
        <v>-6.08E-2</v>
      </c>
      <c r="AM67" s="10">
        <v>5.5300000000000002E-2</v>
      </c>
      <c r="AN67" s="10">
        <v>0.51639466495251019</v>
      </c>
      <c r="AO67" s="10">
        <v>0.50239999999999996</v>
      </c>
      <c r="AP67" s="10">
        <v>-1.6799999999999999E-2</v>
      </c>
      <c r="AQ67" s="10">
        <v>2.0500000000000001E-2</v>
      </c>
      <c r="AR67" s="10">
        <v>4.5481009387103866</v>
      </c>
      <c r="AS67" s="10">
        <v>4.5441000000000003</v>
      </c>
      <c r="AT67" s="10">
        <v>-4.4000000000000003E-3</v>
      </c>
      <c r="AU67" s="10">
        <v>4.1999999999999997E-3</v>
      </c>
      <c r="AV67" s="10">
        <v>-0.22963723848761089</v>
      </c>
      <c r="AW67" s="10">
        <v>-0.2024</v>
      </c>
      <c r="AX67" s="10">
        <v>-3.7199999999999997E-2</v>
      </c>
      <c r="AY67" s="10">
        <v>4.1300000000000003E-2</v>
      </c>
      <c r="AZ67" s="10">
        <v>-0.36560955024465441</v>
      </c>
      <c r="BA67" s="10">
        <v>-0.38059999999999999</v>
      </c>
      <c r="BB67" s="10">
        <v>-3.09E-2</v>
      </c>
      <c r="BC67" s="10">
        <v>3.27E-2</v>
      </c>
      <c r="BD67" s="10">
        <v>1.0451140160244539E-2</v>
      </c>
      <c r="BE67" s="10">
        <v>2.5000000000000001E-2</v>
      </c>
      <c r="BF67" s="10">
        <v>-1.14E-2</v>
      </c>
      <c r="BG67" s="10">
        <v>2.4799999999999999E-2</v>
      </c>
      <c r="BH67" s="13">
        <v>858.8946533203125</v>
      </c>
      <c r="BI67" s="11">
        <v>2.040129817862975</v>
      </c>
      <c r="BJ67" s="13">
        <v>2003.1197882538711</v>
      </c>
      <c r="BK67" s="11">
        <v>0.57560913455571006</v>
      </c>
      <c r="BL67" s="13">
        <v>2862.0144415741838</v>
      </c>
      <c r="BM67" s="11">
        <v>1.307869476209343</v>
      </c>
    </row>
    <row r="68" spans="1:65" ht="27" customHeight="1">
      <c r="A68" s="4">
        <v>66</v>
      </c>
      <c r="B68" s="7" t="str">
        <f t="shared" si="2"/>
        <v/>
      </c>
      <c r="C68" s="8"/>
      <c r="D68" s="8" t="s">
        <v>97</v>
      </c>
      <c r="E68" s="5" t="s">
        <v>98</v>
      </c>
      <c r="H68" s="5" t="s">
        <v>98</v>
      </c>
      <c r="I68" s="4"/>
      <c r="K68" s="5" t="s">
        <v>98</v>
      </c>
      <c r="N68" s="6"/>
      <c r="P68">
        <v>42.050265000000003</v>
      </c>
      <c r="Q68">
        <v>-3.5887134000000001</v>
      </c>
    </row>
    <row r="69" spans="1:65" ht="27" customHeight="1">
      <c r="A69" s="4">
        <v>67</v>
      </c>
      <c r="B69" s="7">
        <f t="shared" si="2"/>
        <v>0.59399999999999997</v>
      </c>
      <c r="C69" s="8">
        <v>3</v>
      </c>
      <c r="D69" s="8" t="s">
        <v>79</v>
      </c>
      <c r="E69" s="5" t="s">
        <v>71</v>
      </c>
      <c r="H69" s="5" t="s">
        <v>76</v>
      </c>
      <c r="I69" s="4">
        <v>0.59399999999999997</v>
      </c>
      <c r="J69" s="3" t="s">
        <v>77</v>
      </c>
      <c r="K69" s="5" t="s">
        <v>76</v>
      </c>
      <c r="L69" s="4">
        <v>0.59399999999999997</v>
      </c>
      <c r="M69" s="3" t="s">
        <v>77</v>
      </c>
      <c r="N69" s="6"/>
      <c r="P69">
        <v>42.137923000000001</v>
      </c>
      <c r="Q69">
        <v>-3.6331218000000001</v>
      </c>
      <c r="R69">
        <v>9.0370000000000008</v>
      </c>
      <c r="S69">
        <v>0.1</v>
      </c>
      <c r="T69" s="10">
        <v>-0.14923537182597971</v>
      </c>
      <c r="U69" s="10">
        <v>-5.4699999999999999E-2</v>
      </c>
      <c r="V69" s="10">
        <v>-7.0099999999999996E-2</v>
      </c>
      <c r="W69" s="10">
        <v>0.1055</v>
      </c>
      <c r="X69" s="10">
        <v>-9.9393909609785752E-2</v>
      </c>
      <c r="Y69" s="10">
        <v>-6.7900000000000002E-2</v>
      </c>
      <c r="Z69" s="10">
        <v>-5.8099999999999999E-2</v>
      </c>
      <c r="AA69" s="10">
        <v>0.1366</v>
      </c>
      <c r="AB69" s="10">
        <v>-2.1736947776136599</v>
      </c>
      <c r="AC69" s="10">
        <v>-1.8916999999999999</v>
      </c>
      <c r="AD69" s="10">
        <v>-0.23400000000000001</v>
      </c>
      <c r="AE69" s="10">
        <v>0.4042</v>
      </c>
      <c r="AF69" s="10">
        <v>86.594994259192319</v>
      </c>
      <c r="AG69" s="10">
        <v>87.777299999999997</v>
      </c>
      <c r="AH69" s="10">
        <v>-9.8985000000000003</v>
      </c>
      <c r="AI69" s="10">
        <v>11.467599999999999</v>
      </c>
      <c r="AJ69" s="10">
        <v>0.74520207944542993</v>
      </c>
      <c r="AK69" s="10">
        <v>0.65910000000000002</v>
      </c>
      <c r="AL69" s="10">
        <v>-9.6500000000000002E-2</v>
      </c>
      <c r="AM69" s="10">
        <v>7.8100000000000003E-2</v>
      </c>
      <c r="AN69" s="10">
        <v>0.40807508306944301</v>
      </c>
      <c r="AO69" s="10">
        <v>0.42670000000000002</v>
      </c>
      <c r="AP69" s="10">
        <v>-2.4E-2</v>
      </c>
      <c r="AQ69" s="10">
        <v>3.3599999999999998E-2</v>
      </c>
      <c r="AR69" s="10">
        <v>4.2359923555823027</v>
      </c>
      <c r="AS69" s="10">
        <v>4.2389000000000001</v>
      </c>
      <c r="AT69" s="10">
        <v>-7.0000000000000001E-3</v>
      </c>
      <c r="AU69" s="10">
        <v>6.7000000000000002E-3</v>
      </c>
      <c r="AV69" s="10">
        <v>-0.206028084060458</v>
      </c>
      <c r="AW69" s="10">
        <v>-0.31419999999999998</v>
      </c>
      <c r="AX69" s="10">
        <v>-0.1003</v>
      </c>
      <c r="AY69" s="10">
        <v>8.4900000000000003E-2</v>
      </c>
      <c r="AZ69" s="10">
        <v>0.30264151840011227</v>
      </c>
      <c r="BA69" s="10">
        <v>0.2271</v>
      </c>
      <c r="BB69" s="10">
        <v>-9.9900000000000003E-2</v>
      </c>
      <c r="BC69" s="10">
        <v>6.4500000000000002E-2</v>
      </c>
      <c r="BD69" s="10">
        <v>0.1013764386463456</v>
      </c>
      <c r="BE69" s="10">
        <v>0.1221</v>
      </c>
      <c r="BF69" s="10">
        <v>-9.0200000000000002E-2</v>
      </c>
      <c r="BG69" s="10">
        <v>0.18940000000000001</v>
      </c>
      <c r="BH69" s="13">
        <v>836.0406494140625</v>
      </c>
      <c r="BI69" s="11">
        <v>1.9671544692095591</v>
      </c>
      <c r="BJ69" s="13">
        <v>2579.2021812057942</v>
      </c>
      <c r="BK69" s="11">
        <v>0.73607368185096866</v>
      </c>
      <c r="BL69" s="13">
        <v>3415.2428306198572</v>
      </c>
      <c r="BM69" s="11">
        <v>1.3516140755302639</v>
      </c>
    </row>
    <row r="70" spans="1:65" ht="27" customHeight="1">
      <c r="A70" s="4">
        <v>68</v>
      </c>
      <c r="B70" s="7" t="str">
        <f t="shared" si="2"/>
        <v/>
      </c>
      <c r="C70" s="8"/>
      <c r="D70" s="8" t="s">
        <v>97</v>
      </c>
      <c r="E70" s="5" t="s">
        <v>98</v>
      </c>
      <c r="H70" s="5" t="s">
        <v>98</v>
      </c>
      <c r="I70" s="4"/>
      <c r="K70" s="5" t="s">
        <v>98</v>
      </c>
      <c r="N70" s="6"/>
      <c r="P70">
        <v>42.143287999999998</v>
      </c>
      <c r="Q70">
        <v>-3.6387784000000001</v>
      </c>
    </row>
    <row r="71" spans="1:65" ht="27" customHeight="1">
      <c r="A71" s="4">
        <v>69</v>
      </c>
      <c r="B71" s="7">
        <f t="shared" si="2"/>
        <v>0.65933333333333333</v>
      </c>
      <c r="C71" s="8">
        <v>3</v>
      </c>
      <c r="D71" s="8" t="s">
        <v>74</v>
      </c>
      <c r="E71" s="5" t="s">
        <v>76</v>
      </c>
      <c r="F71" s="4">
        <v>0.65949999999999998</v>
      </c>
      <c r="G71" s="3" t="s">
        <v>92</v>
      </c>
      <c r="H71" s="5" t="s">
        <v>74</v>
      </c>
      <c r="I71" s="4">
        <v>0.65900000000000003</v>
      </c>
      <c r="J71" s="3" t="s">
        <v>75</v>
      </c>
      <c r="K71" s="5" t="s">
        <v>76</v>
      </c>
      <c r="L71" s="4">
        <v>0.65949999999999998</v>
      </c>
      <c r="M71" s="3" t="s">
        <v>80</v>
      </c>
      <c r="N71" s="6"/>
      <c r="P71">
        <v>42.145584999999997</v>
      </c>
      <c r="Q71">
        <v>-3.6429235000000002</v>
      </c>
      <c r="R71">
        <v>9.8829999999999991</v>
      </c>
      <c r="S71">
        <v>8.2000000000000003E-2</v>
      </c>
      <c r="T71" s="10">
        <v>-0.13370199235096519</v>
      </c>
      <c r="U71" s="10">
        <v>-0.11210000000000001</v>
      </c>
      <c r="V71" s="10">
        <v>-2.69E-2</v>
      </c>
      <c r="W71" s="10">
        <v>4.19E-2</v>
      </c>
      <c r="X71" s="10">
        <v>0.14431186751574621</v>
      </c>
      <c r="Y71" s="10">
        <v>0.1371</v>
      </c>
      <c r="Z71" s="10">
        <v>-1.7299999999999999E-2</v>
      </c>
      <c r="AA71" s="10">
        <v>9.5999999999999992E-3</v>
      </c>
      <c r="AB71" s="10">
        <v>5.051179020497143E-2</v>
      </c>
      <c r="AC71" s="10">
        <v>8.1000000000000003E-2</v>
      </c>
      <c r="AD71" s="10">
        <v>-2.76E-2</v>
      </c>
      <c r="AE71" s="10">
        <v>3.5099999999999999E-2</v>
      </c>
      <c r="AF71" s="10">
        <v>196.999366244127</v>
      </c>
      <c r="AG71" s="10">
        <v>169.3202</v>
      </c>
      <c r="AH71" s="10">
        <v>-15.995900000000001</v>
      </c>
      <c r="AI71" s="10">
        <v>16.330500000000001</v>
      </c>
      <c r="AJ71" s="10">
        <v>0.53757965558431409</v>
      </c>
      <c r="AK71" s="10">
        <v>0.55579999999999996</v>
      </c>
      <c r="AL71" s="10">
        <v>-3.2899999999999999E-2</v>
      </c>
      <c r="AM71" s="10">
        <v>5.2900000000000003E-2</v>
      </c>
      <c r="AN71" s="10">
        <v>0.99941147697631139</v>
      </c>
      <c r="AO71" s="10">
        <v>0.98580000000000001</v>
      </c>
      <c r="AP71" s="10">
        <v>-4.0899999999999999E-2</v>
      </c>
      <c r="AQ71" s="10">
        <v>2.9600000000000001E-2</v>
      </c>
      <c r="AR71" s="10">
        <v>4.7675202203027158</v>
      </c>
      <c r="AS71" s="10">
        <v>4.7683999999999997</v>
      </c>
      <c r="AT71" s="10">
        <v>-4.7999999999999996E-3</v>
      </c>
      <c r="AU71" s="10">
        <v>4.7000000000000002E-3</v>
      </c>
      <c r="AV71" s="10">
        <v>-0.13836936312342149</v>
      </c>
      <c r="AW71" s="10">
        <v>-0.12839999999999999</v>
      </c>
      <c r="AX71" s="10">
        <v>-0.01</v>
      </c>
      <c r="AY71" s="10">
        <v>1.04E-2</v>
      </c>
      <c r="AZ71" s="10">
        <v>-0.1209201739590675</v>
      </c>
      <c r="BA71" s="10">
        <v>-0.12839999999999999</v>
      </c>
      <c r="BB71" s="10">
        <v>-1.2500000000000001E-2</v>
      </c>
      <c r="BC71" s="10">
        <v>9.1000000000000004E-3</v>
      </c>
      <c r="BD71" s="10">
        <v>1.256239581614734</v>
      </c>
      <c r="BE71" s="10">
        <v>0.94379999999999997</v>
      </c>
      <c r="BF71" s="10">
        <v>-0.1583</v>
      </c>
      <c r="BG71" s="10">
        <v>0.18459999999999999</v>
      </c>
      <c r="BH71" s="13">
        <v>679.8416748046875</v>
      </c>
      <c r="BI71" s="11">
        <v>1.6148258308899941</v>
      </c>
      <c r="BJ71" s="13">
        <v>4606.9627345739455</v>
      </c>
      <c r="BK71" s="11">
        <v>0.88255991083792074</v>
      </c>
      <c r="BL71" s="13">
        <v>5286.804409378632</v>
      </c>
      <c r="BM71" s="11">
        <v>1.248692870863958</v>
      </c>
    </row>
    <row r="72" spans="1:65" ht="27" customHeight="1">
      <c r="A72" s="4">
        <v>70</v>
      </c>
      <c r="B72" s="7">
        <f t="shared" si="2"/>
        <v>0.67125000000000001</v>
      </c>
      <c r="C72" s="8">
        <v>3</v>
      </c>
      <c r="D72" s="8" t="s">
        <v>74</v>
      </c>
      <c r="E72" s="5" t="s">
        <v>71</v>
      </c>
      <c r="H72" s="5" t="s">
        <v>74</v>
      </c>
      <c r="I72" s="4">
        <v>0.67100000000000004</v>
      </c>
      <c r="J72" s="3" t="s">
        <v>80</v>
      </c>
      <c r="K72" s="5" t="s">
        <v>74</v>
      </c>
      <c r="L72" s="4">
        <v>0.67149999999999999</v>
      </c>
      <c r="M72" s="3" t="s">
        <v>80</v>
      </c>
      <c r="N72" s="6"/>
      <c r="P72">
        <v>42.118898000000002</v>
      </c>
      <c r="Q72">
        <v>-3.6356004999999998</v>
      </c>
      <c r="R72">
        <v>9.7690000000000001</v>
      </c>
      <c r="S72">
        <v>6.5000000000000002E-2</v>
      </c>
      <c r="T72" s="10">
        <v>2.4168774518790629E-2</v>
      </c>
      <c r="U72" s="10">
        <v>3.1800000000000002E-2</v>
      </c>
      <c r="V72" s="10">
        <v>-1.5699999999999999E-2</v>
      </c>
      <c r="W72" s="10">
        <v>1.3599999999999999E-2</v>
      </c>
      <c r="X72" s="10">
        <v>3.7942588539922772E-2</v>
      </c>
      <c r="Y72" s="10">
        <v>3.1099999999999999E-2</v>
      </c>
      <c r="Z72" s="10">
        <v>-1.2E-2</v>
      </c>
      <c r="AA72" s="10">
        <v>1.2E-2</v>
      </c>
      <c r="AB72" s="10">
        <v>6.3406081686790738E-2</v>
      </c>
      <c r="AC72" s="10">
        <v>0.14990000000000001</v>
      </c>
      <c r="AD72" s="10">
        <v>-8.5999999999999993E-2</v>
      </c>
      <c r="AE72" s="10">
        <v>8.43E-2</v>
      </c>
      <c r="AF72" s="10">
        <v>115.9023693324846</v>
      </c>
      <c r="AG72" s="10">
        <v>117.83329999999999</v>
      </c>
      <c r="AH72" s="10">
        <v>-14.5725</v>
      </c>
      <c r="AI72" s="10">
        <v>16.779499999999999</v>
      </c>
      <c r="AJ72" s="10">
        <v>0.9302663560475688</v>
      </c>
      <c r="AK72" s="10">
        <v>0.93320000000000003</v>
      </c>
      <c r="AL72" s="10">
        <v>-2.6800000000000001E-2</v>
      </c>
      <c r="AM72" s="10">
        <v>1.9400000000000001E-2</v>
      </c>
      <c r="AN72" s="10">
        <v>0.34338548014683062</v>
      </c>
      <c r="AO72" s="10">
        <v>0.34460000000000002</v>
      </c>
      <c r="AP72" s="10">
        <v>-5.5999999999999999E-3</v>
      </c>
      <c r="AQ72" s="10">
        <v>6.1999999999999998E-3</v>
      </c>
      <c r="AR72" s="10">
        <v>4.6181967183854722</v>
      </c>
      <c r="AS72" s="10">
        <v>4.6177999999999999</v>
      </c>
      <c r="AT72" s="10">
        <v>-3.3E-3</v>
      </c>
      <c r="AU72" s="10">
        <v>3.3999999999999998E-3</v>
      </c>
      <c r="AV72" s="10">
        <v>-2.7272178041724441E-2</v>
      </c>
      <c r="AW72" s="10">
        <v>-9.4999999999999998E-3</v>
      </c>
      <c r="AX72" s="10">
        <v>-1.6199999999999999E-2</v>
      </c>
      <c r="AY72" s="10">
        <v>1.49E-2</v>
      </c>
      <c r="AZ72" s="10">
        <v>-0.14574286635497799</v>
      </c>
      <c r="BA72" s="10">
        <v>-0.14660000000000001</v>
      </c>
      <c r="BB72" s="10">
        <v>-9.7000000000000003E-3</v>
      </c>
      <c r="BC72" s="10">
        <v>1.03E-2</v>
      </c>
      <c r="BD72" s="10">
        <v>2.5187761861091632E-2</v>
      </c>
      <c r="BE72" s="10">
        <v>3.5400000000000001E-2</v>
      </c>
      <c r="BF72" s="10">
        <v>-1.89E-2</v>
      </c>
      <c r="BG72" s="10">
        <v>4.0800000000000003E-2</v>
      </c>
      <c r="BH72" s="13">
        <v>762.22271728515625</v>
      </c>
      <c r="BI72" s="11">
        <v>1.7934652171415439</v>
      </c>
      <c r="BJ72" s="13">
        <v>2272.0768457407048</v>
      </c>
      <c r="BK72" s="11">
        <v>0.64842375734609148</v>
      </c>
      <c r="BL72" s="13">
        <v>3034.2995630258611</v>
      </c>
      <c r="BM72" s="11">
        <v>1.220944487243818</v>
      </c>
    </row>
    <row r="73" spans="1:65" ht="27" customHeight="1">
      <c r="A73" s="4">
        <v>71</v>
      </c>
      <c r="B73" s="7">
        <f t="shared" si="2"/>
        <v>0.68149999999999999</v>
      </c>
      <c r="C73" s="8">
        <v>3</v>
      </c>
      <c r="D73" s="8" t="s">
        <v>74</v>
      </c>
      <c r="E73" s="5" t="s">
        <v>71</v>
      </c>
      <c r="H73" s="5" t="s">
        <v>74</v>
      </c>
      <c r="I73" s="4">
        <v>0.68100000000000005</v>
      </c>
      <c r="J73" s="3" t="s">
        <v>80</v>
      </c>
      <c r="K73" s="5" t="s">
        <v>74</v>
      </c>
      <c r="L73" s="4">
        <v>0.68200000000000005</v>
      </c>
      <c r="M73" s="3" t="s">
        <v>80</v>
      </c>
      <c r="N73" s="6"/>
      <c r="P73">
        <v>42.102837000000001</v>
      </c>
      <c r="Q73">
        <v>-3.6312541999999999</v>
      </c>
      <c r="R73">
        <v>10.066000000000001</v>
      </c>
      <c r="S73">
        <v>3.2000000000000001E-2</v>
      </c>
      <c r="T73" s="10">
        <v>-0.1051166897201046</v>
      </c>
      <c r="U73" s="10">
        <v>-0.1047</v>
      </c>
      <c r="V73" s="10">
        <v>-1.9E-3</v>
      </c>
      <c r="W73" s="10">
        <v>1.9E-3</v>
      </c>
      <c r="X73" s="10">
        <v>9.1796772693347517E-2</v>
      </c>
      <c r="Y73" s="10">
        <v>9.0399999999999994E-2</v>
      </c>
      <c r="Z73" s="10">
        <v>-1.9E-3</v>
      </c>
      <c r="AA73" s="10">
        <v>1.9E-3</v>
      </c>
      <c r="AB73" s="10">
        <v>-2.892357252171764</v>
      </c>
      <c r="AC73" s="10">
        <v>-2.8904999999999998</v>
      </c>
      <c r="AD73" s="10">
        <v>-1.5699999999999999E-2</v>
      </c>
      <c r="AE73" s="10">
        <v>1.5699999999999999E-2</v>
      </c>
      <c r="AF73" s="10">
        <v>129.45687729478269</v>
      </c>
      <c r="AG73" s="10">
        <v>125.6215</v>
      </c>
      <c r="AH73" s="10">
        <v>-4.9668000000000001</v>
      </c>
      <c r="AI73" s="10">
        <v>4.0651000000000002</v>
      </c>
      <c r="AJ73" s="10">
        <v>0.96159324875916052</v>
      </c>
      <c r="AK73" s="10">
        <v>0.96060000000000001</v>
      </c>
      <c r="AL73" s="10">
        <v>-3.3999999999999998E-3</v>
      </c>
      <c r="AM73" s="10">
        <v>3.5000000000000001E-3</v>
      </c>
      <c r="AN73" s="10">
        <v>0.4590865809823782</v>
      </c>
      <c r="AO73" s="10">
        <v>0.45950000000000002</v>
      </c>
      <c r="AP73" s="10">
        <v>-1.1000000000000001E-3</v>
      </c>
      <c r="AQ73" s="10">
        <v>1.1000000000000001E-3</v>
      </c>
      <c r="AR73" s="10">
        <v>4.9913168289062044</v>
      </c>
      <c r="AS73" s="10">
        <v>4.9916999999999998</v>
      </c>
      <c r="AT73" s="10">
        <v>-5.9999999999999995E-4</v>
      </c>
      <c r="AU73" s="10">
        <v>5.0000000000000001E-4</v>
      </c>
      <c r="AV73" s="10">
        <v>0.36732648827478398</v>
      </c>
      <c r="AW73" s="10">
        <v>0.36799999999999999</v>
      </c>
      <c r="AX73" s="10">
        <v>-3.8999999999999998E-3</v>
      </c>
      <c r="AY73" s="10">
        <v>3.8999999999999998E-3</v>
      </c>
      <c r="AZ73" s="10">
        <v>0.21098317518035989</v>
      </c>
      <c r="BA73" s="10">
        <v>0.21010000000000001</v>
      </c>
      <c r="BB73" s="10">
        <v>-5.1000000000000004E-3</v>
      </c>
      <c r="BC73" s="10">
        <v>5.1000000000000004E-3</v>
      </c>
      <c r="BD73" s="10">
        <v>1.188440577317113E-2</v>
      </c>
      <c r="BE73" s="10">
        <v>1.9099999999999999E-2</v>
      </c>
      <c r="BF73" s="10">
        <v>-5.8999999999999999E-3</v>
      </c>
      <c r="BG73" s="10">
        <v>8.6999999999999994E-3</v>
      </c>
      <c r="BH73" s="13">
        <v>1103.847290039062</v>
      </c>
      <c r="BI73" s="11">
        <v>2.5972877412683819</v>
      </c>
      <c r="BJ73" s="13">
        <v>3320.4327748748092</v>
      </c>
      <c r="BK73" s="11">
        <v>0.94761209328618978</v>
      </c>
      <c r="BL73" s="13">
        <v>4424.2800649138717</v>
      </c>
      <c r="BM73" s="11">
        <v>1.7724499172772861</v>
      </c>
    </row>
    <row r="74" spans="1:65" ht="27" customHeight="1">
      <c r="A74" s="4">
        <v>72</v>
      </c>
      <c r="B74" s="7">
        <f t="shared" si="2"/>
        <v>0.6835</v>
      </c>
      <c r="C74" s="8">
        <v>3</v>
      </c>
      <c r="D74" s="8" t="s">
        <v>74</v>
      </c>
      <c r="E74" s="5" t="s">
        <v>71</v>
      </c>
      <c r="H74" s="5" t="s">
        <v>74</v>
      </c>
      <c r="I74" s="4">
        <v>0.68400000000000005</v>
      </c>
      <c r="J74" s="3" t="s">
        <v>81</v>
      </c>
      <c r="K74" s="5" t="s">
        <v>74</v>
      </c>
      <c r="L74" s="4">
        <v>0.68300000000000005</v>
      </c>
      <c r="M74" s="3" t="s">
        <v>81</v>
      </c>
      <c r="N74" s="6"/>
      <c r="O74" s="3" t="s">
        <v>102</v>
      </c>
      <c r="P74">
        <v>42.098326</v>
      </c>
      <c r="Q74">
        <v>-3.6326450000000001</v>
      </c>
      <c r="R74">
        <v>10.223000000000001</v>
      </c>
      <c r="S74">
        <v>4.2000000000000003E-2</v>
      </c>
      <c r="T74" s="10">
        <v>0.11353826297894511</v>
      </c>
      <c r="U74" s="10">
        <v>9.4899999999999998E-2</v>
      </c>
      <c r="V74" s="10">
        <v>-2.6800000000000001E-2</v>
      </c>
      <c r="W74" s="10">
        <v>2.9899999999999999E-2</v>
      </c>
      <c r="X74" s="10">
        <v>0.1493691472491222</v>
      </c>
      <c r="Y74" s="10">
        <v>0.1431</v>
      </c>
      <c r="Z74" s="10">
        <v>-9.9000000000000008E-3</v>
      </c>
      <c r="AA74" s="10">
        <v>5.1000000000000004E-3</v>
      </c>
      <c r="AB74" s="10">
        <v>1.864337232198122</v>
      </c>
      <c r="AC74" s="10">
        <v>1.8626</v>
      </c>
      <c r="AD74" s="10">
        <v>-2.7900000000000001E-2</v>
      </c>
      <c r="AE74" s="10">
        <v>3.1600000000000003E-2</v>
      </c>
      <c r="AF74" s="10">
        <v>169.62624158696639</v>
      </c>
      <c r="AG74" s="10">
        <v>171.6711</v>
      </c>
      <c r="AH74" s="10">
        <v>-9.5900999999999996</v>
      </c>
      <c r="AI74" s="10">
        <v>10.315899999999999</v>
      </c>
      <c r="AJ74" s="10">
        <v>0.58970137212224949</v>
      </c>
      <c r="AK74" s="10">
        <v>0.61809999999999998</v>
      </c>
      <c r="AL74" s="10">
        <v>-3.4700000000000002E-2</v>
      </c>
      <c r="AM74" s="10">
        <v>3.3799999999999997E-2</v>
      </c>
      <c r="AN74" s="10">
        <v>0.80096121869912573</v>
      </c>
      <c r="AO74" s="10">
        <v>0.78</v>
      </c>
      <c r="AP74" s="10">
        <v>-2.0299999999999999E-2</v>
      </c>
      <c r="AQ74" s="10">
        <v>2.2499999999999999E-2</v>
      </c>
      <c r="AR74" s="10">
        <v>4.9881181784663884</v>
      </c>
      <c r="AS74" s="10">
        <v>4.9870999999999999</v>
      </c>
      <c r="AT74" s="10">
        <v>-2.5000000000000001E-3</v>
      </c>
      <c r="AU74" s="10">
        <v>2.5999999999999999E-3</v>
      </c>
      <c r="AV74" s="10">
        <v>0.25889220130995949</v>
      </c>
      <c r="AW74" s="10">
        <v>0.26040000000000002</v>
      </c>
      <c r="AX74" s="10">
        <v>-7.6E-3</v>
      </c>
      <c r="AY74" s="10">
        <v>7.7000000000000002E-3</v>
      </c>
      <c r="AZ74" s="10">
        <v>-0.10496189839179459</v>
      </c>
      <c r="BA74" s="10">
        <v>-0.1103</v>
      </c>
      <c r="BB74" s="10">
        <v>-6.1999999999999998E-3</v>
      </c>
      <c r="BC74" s="10">
        <v>5.4999999999999997E-3</v>
      </c>
      <c r="BD74" s="10">
        <v>0.17231779405100189</v>
      </c>
      <c r="BE74" s="10">
        <v>0.15790000000000001</v>
      </c>
      <c r="BF74" s="10">
        <v>-2.81E-2</v>
      </c>
      <c r="BG74" s="10">
        <v>3.2199999999999999E-2</v>
      </c>
      <c r="BH74" s="13">
        <v>958.169921875</v>
      </c>
      <c r="BI74" s="11">
        <v>2.233496321386947</v>
      </c>
      <c r="BJ74" s="13">
        <v>2059.4219245625859</v>
      </c>
      <c r="BK74" s="11">
        <v>1.167472746350672</v>
      </c>
      <c r="BL74" s="13">
        <v>3017.5918464375859</v>
      </c>
      <c r="BM74" s="11">
        <v>1.700484533868809</v>
      </c>
    </row>
    <row r="75" spans="1:65" ht="27" customHeight="1">
      <c r="A75" s="4">
        <v>73</v>
      </c>
      <c r="B75" s="7" t="str">
        <f t="shared" si="2"/>
        <v/>
      </c>
      <c r="C75" s="8"/>
      <c r="D75" s="8" t="s">
        <v>97</v>
      </c>
      <c r="E75" s="5" t="s">
        <v>98</v>
      </c>
      <c r="H75" s="5" t="s">
        <v>98</v>
      </c>
      <c r="I75" s="4"/>
      <c r="K75" s="5" t="s">
        <v>98</v>
      </c>
      <c r="N75" s="6"/>
      <c r="P75">
        <v>42.127791999999999</v>
      </c>
      <c r="Q75">
        <v>-3.6539549</v>
      </c>
    </row>
    <row r="76" spans="1:65" ht="27" customHeight="1">
      <c r="A76" s="4">
        <v>74</v>
      </c>
      <c r="B76" s="7" t="str">
        <f t="shared" si="2"/>
        <v/>
      </c>
      <c r="C76" s="8"/>
      <c r="D76" s="8" t="s">
        <v>72</v>
      </c>
      <c r="E76" s="5" t="s">
        <v>73</v>
      </c>
      <c r="H76" s="5" t="s">
        <v>73</v>
      </c>
      <c r="I76" s="4"/>
      <c r="K76" s="5" t="s">
        <v>73</v>
      </c>
      <c r="N76" s="6"/>
      <c r="P76">
        <v>41.998617000000003</v>
      </c>
      <c r="Q76">
        <v>-3.3252375999999999</v>
      </c>
    </row>
    <row r="77" spans="1:65" ht="27" customHeight="1">
      <c r="A77" s="4">
        <v>75</v>
      </c>
      <c r="B77" s="7">
        <f t="shared" si="2"/>
        <v>0.95499999999999996</v>
      </c>
      <c r="C77" s="8">
        <v>2</v>
      </c>
      <c r="D77" s="8" t="s">
        <v>74</v>
      </c>
      <c r="E77" s="5" t="s">
        <v>74</v>
      </c>
      <c r="F77" s="4">
        <v>0.95499999999999996</v>
      </c>
      <c r="G77" s="3" t="s">
        <v>90</v>
      </c>
      <c r="H77" s="5" t="s">
        <v>74</v>
      </c>
      <c r="I77" s="4">
        <v>0.95499999999999996</v>
      </c>
      <c r="J77" s="3" t="s">
        <v>90</v>
      </c>
      <c r="K77" s="5" t="s">
        <v>71</v>
      </c>
      <c r="N77" s="6"/>
      <c r="P77">
        <v>42.040506999999998</v>
      </c>
      <c r="Q77">
        <v>-3.3474537</v>
      </c>
      <c r="R77">
        <v>10.114000000000001</v>
      </c>
      <c r="S77">
        <v>7.3999999999999996E-2</v>
      </c>
      <c r="T77" s="10">
        <v>0.11504642487703411</v>
      </c>
      <c r="U77" s="10">
        <v>0.11269999999999999</v>
      </c>
      <c r="V77" s="10">
        <v>-1.43E-2</v>
      </c>
      <c r="W77" s="10">
        <v>1.43E-2</v>
      </c>
      <c r="X77" s="10">
        <v>-3.4818187467120509E-3</v>
      </c>
      <c r="Y77" s="10">
        <v>-1.01E-2</v>
      </c>
      <c r="Z77" s="10">
        <v>-1.4E-2</v>
      </c>
      <c r="AA77" s="10">
        <v>1.32E-2</v>
      </c>
      <c r="AB77" s="10">
        <v>-2.0391928551063558</v>
      </c>
      <c r="AC77" s="10">
        <v>-2.0304000000000002</v>
      </c>
      <c r="AD77" s="10">
        <v>-0.2205</v>
      </c>
      <c r="AE77" s="10">
        <v>0.22450000000000001</v>
      </c>
      <c r="AF77" s="10">
        <v>165.9498574653812</v>
      </c>
      <c r="AG77" s="10">
        <v>144.7243</v>
      </c>
      <c r="AH77" s="10">
        <v>-18.168700000000001</v>
      </c>
      <c r="AI77" s="10">
        <v>21.069800000000001</v>
      </c>
      <c r="AJ77" s="10">
        <v>0.98432277835177739</v>
      </c>
      <c r="AK77" s="10">
        <v>0.9748</v>
      </c>
      <c r="AL77" s="10">
        <v>-1.0800000000000001E-2</v>
      </c>
      <c r="AM77" s="10">
        <v>8.0000000000000002E-3</v>
      </c>
      <c r="AN77" s="10">
        <v>1.1440466231099811</v>
      </c>
      <c r="AO77" s="10">
        <v>1.1404000000000001</v>
      </c>
      <c r="AP77" s="10">
        <v>-2.3199999999999998E-2</v>
      </c>
      <c r="AQ77" s="10">
        <v>2.2700000000000001E-2</v>
      </c>
      <c r="AR77" s="10">
        <v>4.928071168478235</v>
      </c>
      <c r="AS77" s="10">
        <v>4.9256000000000002</v>
      </c>
      <c r="AT77" s="10">
        <v>-9.4000000000000004E-3</v>
      </c>
      <c r="AU77" s="10">
        <v>9.5999999999999992E-3</v>
      </c>
      <c r="AV77" s="10">
        <v>-0.1527216100834812</v>
      </c>
      <c r="AW77" s="10">
        <v>-0.15140000000000001</v>
      </c>
      <c r="AX77" s="10">
        <v>-1.8700000000000001E-2</v>
      </c>
      <c r="AY77" s="10">
        <v>2.4799999999999999E-2</v>
      </c>
      <c r="AZ77" s="10">
        <v>8.8162866489475133E-2</v>
      </c>
      <c r="BA77" s="10">
        <v>8.6499999999999994E-2</v>
      </c>
      <c r="BB77" s="10">
        <v>-3.6600000000000001E-2</v>
      </c>
      <c r="BC77" s="10">
        <v>3.1300000000000001E-2</v>
      </c>
      <c r="BD77" s="10">
        <v>0.1061102225273645</v>
      </c>
      <c r="BE77" s="10">
        <v>0.16589999999999999</v>
      </c>
      <c r="BF77" s="10">
        <v>-8.9800000000000005E-2</v>
      </c>
      <c r="BG77" s="10">
        <v>0.1197</v>
      </c>
      <c r="BH77" s="13">
        <v>962.04034423828125</v>
      </c>
      <c r="BI77" s="11">
        <v>2.2636243393841911</v>
      </c>
      <c r="BJ77" s="13">
        <v>1696.7189687586799</v>
      </c>
      <c r="BK77" s="11">
        <v>0.96844689997641542</v>
      </c>
      <c r="BL77" s="13">
        <v>2658.7593129969609</v>
      </c>
      <c r="BM77" s="11">
        <v>1.616035619680303</v>
      </c>
    </row>
    <row r="78" spans="1:65" ht="27" customHeight="1">
      <c r="A78" s="4">
        <v>76</v>
      </c>
      <c r="B78" s="7" t="str">
        <f t="shared" si="2"/>
        <v/>
      </c>
      <c r="C78" s="8"/>
      <c r="D78" s="8" t="s">
        <v>72</v>
      </c>
      <c r="E78" s="5" t="s">
        <v>73</v>
      </c>
      <c r="H78" s="5" t="s">
        <v>73</v>
      </c>
      <c r="I78" s="4"/>
      <c r="K78" s="5" t="s">
        <v>73</v>
      </c>
      <c r="N78" s="6"/>
      <c r="P78">
        <v>41.997574</v>
      </c>
      <c r="Q78">
        <v>-3.3318446000000002</v>
      </c>
    </row>
    <row r="79" spans="1:65" ht="27" customHeight="1">
      <c r="A79" s="4">
        <v>77</v>
      </c>
      <c r="B79" s="7">
        <f t="shared" si="2"/>
        <v>0.76600000000000001</v>
      </c>
      <c r="C79" s="8">
        <v>3</v>
      </c>
      <c r="D79" s="8" t="s">
        <v>87</v>
      </c>
      <c r="E79" s="5" t="s">
        <v>71</v>
      </c>
      <c r="H79" s="5" t="s">
        <v>76</v>
      </c>
      <c r="I79" s="4">
        <v>0.76600000000000001</v>
      </c>
      <c r="J79" s="3" t="s">
        <v>80</v>
      </c>
      <c r="K79" s="5" t="s">
        <v>71</v>
      </c>
      <c r="N79" s="6"/>
      <c r="P79">
        <v>42.021658000000002</v>
      </c>
      <c r="Q79">
        <v>-3.3468338000000002</v>
      </c>
      <c r="R79">
        <v>9.5960000000000001</v>
      </c>
      <c r="S79">
        <v>8.8999999999999996E-2</v>
      </c>
      <c r="T79" s="10">
        <v>8.3619172502964995E-2</v>
      </c>
      <c r="U79" s="10">
        <v>7.9899999999999999E-2</v>
      </c>
      <c r="V79" s="10">
        <v>-8.0399999999999999E-2</v>
      </c>
      <c r="W79" s="10">
        <v>4.9799999999999997E-2</v>
      </c>
      <c r="X79" s="10">
        <v>0.111351060257301</v>
      </c>
      <c r="Y79" s="10">
        <v>9.8900000000000002E-2</v>
      </c>
      <c r="Z79" s="10">
        <v>-5.1499999999999997E-2</v>
      </c>
      <c r="AA79" s="10">
        <v>3.4099999999999998E-2</v>
      </c>
      <c r="AB79" s="10">
        <v>-0.1460191630848349</v>
      </c>
      <c r="AC79" s="10">
        <v>-0.1183</v>
      </c>
      <c r="AD79" s="10">
        <v>-7.0199999999999999E-2</v>
      </c>
      <c r="AE79" s="10">
        <v>0.1125</v>
      </c>
      <c r="AF79" s="10">
        <v>129.36567595408951</v>
      </c>
      <c r="AG79" s="10">
        <v>111.7308</v>
      </c>
      <c r="AH79" s="10">
        <v>-13.7165</v>
      </c>
      <c r="AI79" s="10">
        <v>16.4453</v>
      </c>
      <c r="AJ79" s="10">
        <v>0.60179561483294375</v>
      </c>
      <c r="AK79" s="10">
        <v>0.5897</v>
      </c>
      <c r="AL79" s="10">
        <v>-9.3299999999999994E-2</v>
      </c>
      <c r="AM79" s="10">
        <v>6.7699999999999996E-2</v>
      </c>
      <c r="AN79" s="10">
        <v>0.58424580429088713</v>
      </c>
      <c r="AO79" s="10">
        <v>0.59050000000000002</v>
      </c>
      <c r="AP79" s="10">
        <v>-3.0099999999999998E-2</v>
      </c>
      <c r="AQ79" s="10">
        <v>5.0099999999999999E-2</v>
      </c>
      <c r="AR79" s="10">
        <v>4.5471079809707842</v>
      </c>
      <c r="AS79" s="10">
        <v>4.5487000000000002</v>
      </c>
      <c r="AT79" s="10">
        <v>-4.0000000000000001E-3</v>
      </c>
      <c r="AU79" s="10">
        <v>4.0000000000000001E-3</v>
      </c>
      <c r="AV79" s="10">
        <v>-0.26474846764842419</v>
      </c>
      <c r="AW79" s="10">
        <v>-0.24279999999999999</v>
      </c>
      <c r="AX79" s="10">
        <v>-4.48E-2</v>
      </c>
      <c r="AY79" s="10">
        <v>6.8699999999999997E-2</v>
      </c>
      <c r="AZ79" s="10">
        <v>-0.42948818667225291</v>
      </c>
      <c r="BA79" s="10">
        <v>-0.42320000000000002</v>
      </c>
      <c r="BB79" s="10">
        <v>-4.7699999999999999E-2</v>
      </c>
      <c r="BC79" s="10">
        <v>5.96E-2</v>
      </c>
      <c r="BD79" s="10">
        <v>0.38474727413375431</v>
      </c>
      <c r="BE79" s="10">
        <v>0.4365</v>
      </c>
      <c r="BF79" s="10">
        <v>-0.1845</v>
      </c>
      <c r="BG79" s="10">
        <v>0.4874</v>
      </c>
      <c r="BH79" s="13">
        <v>1168.646118164062</v>
      </c>
      <c r="BI79" s="11">
        <v>2.7497555721507352</v>
      </c>
      <c r="BJ79" s="13">
        <v>3615.707985078307</v>
      </c>
      <c r="BK79" s="11">
        <v>1.0824805899187879</v>
      </c>
      <c r="BL79" s="13">
        <v>4784.3541032423691</v>
      </c>
      <c r="BM79" s="11">
        <v>1.916118081034762</v>
      </c>
    </row>
    <row r="80" spans="1:65" ht="27" customHeight="1">
      <c r="A80" s="4">
        <v>78</v>
      </c>
      <c r="B80" s="7">
        <f t="shared" si="2"/>
        <v>0.49666666666666665</v>
      </c>
      <c r="C80" s="8">
        <v>3</v>
      </c>
      <c r="D80" s="8" t="s">
        <v>74</v>
      </c>
      <c r="E80" s="5" t="s">
        <v>74</v>
      </c>
      <c r="F80" s="4">
        <v>0.497</v>
      </c>
      <c r="G80" s="3" t="s">
        <v>75</v>
      </c>
      <c r="H80" s="5" t="s">
        <v>74</v>
      </c>
      <c r="I80" s="4">
        <v>0.496</v>
      </c>
      <c r="J80" s="3" t="s">
        <v>75</v>
      </c>
      <c r="K80" s="5" t="s">
        <v>74</v>
      </c>
      <c r="L80" s="4">
        <v>0.497</v>
      </c>
      <c r="M80" s="3" t="s">
        <v>75</v>
      </c>
      <c r="N80" s="6"/>
      <c r="P80">
        <v>41.991587000000003</v>
      </c>
      <c r="Q80">
        <v>-3.3362487999999999</v>
      </c>
      <c r="R80">
        <v>9.3710000000000004</v>
      </c>
      <c r="S80">
        <v>6.7000000000000004E-2</v>
      </c>
      <c r="T80" s="10">
        <v>-0.1461290216417408</v>
      </c>
      <c r="U80" s="10">
        <v>-0.14580000000000001</v>
      </c>
      <c r="V80" s="10">
        <v>-3.0000000000000001E-3</v>
      </c>
      <c r="W80" s="10">
        <v>6.3E-3</v>
      </c>
      <c r="X80" s="10">
        <v>-1.2885408267347129E-3</v>
      </c>
      <c r="Y80" s="10">
        <v>-2.0000000000000001E-4</v>
      </c>
      <c r="Z80" s="10">
        <v>-8.1500000000000003E-2</v>
      </c>
      <c r="AA80" s="10">
        <v>7.8100000000000003E-2</v>
      </c>
      <c r="AB80" s="10">
        <v>-0.70651089620630936</v>
      </c>
      <c r="AC80" s="10">
        <v>-0.70840000000000003</v>
      </c>
      <c r="AD80" s="10">
        <v>-1.54E-2</v>
      </c>
      <c r="AE80" s="10">
        <v>1.9E-2</v>
      </c>
      <c r="AF80" s="10">
        <v>183.42104340790581</v>
      </c>
      <c r="AG80" s="10">
        <v>132.65100000000001</v>
      </c>
      <c r="AH80" s="10">
        <v>-14.180400000000001</v>
      </c>
      <c r="AI80" s="10">
        <v>12.7376</v>
      </c>
      <c r="AJ80" s="10">
        <v>0.5019155019136855</v>
      </c>
      <c r="AK80" s="10">
        <v>0.50170000000000003</v>
      </c>
      <c r="AL80" s="10">
        <v>-7.9500000000000001E-2</v>
      </c>
      <c r="AM80" s="10">
        <v>9.3399999999999997E-2</v>
      </c>
      <c r="AN80" s="10">
        <v>0.85417108712670164</v>
      </c>
      <c r="AO80" s="10">
        <v>0.85650000000000004</v>
      </c>
      <c r="AP80" s="10">
        <v>-6.5699999999999995E-2</v>
      </c>
      <c r="AQ80" s="10">
        <v>7.0599999999999996E-2</v>
      </c>
      <c r="AR80" s="10">
        <v>4.766948455186288</v>
      </c>
      <c r="AS80" s="10">
        <v>4.7636000000000003</v>
      </c>
      <c r="AT80" s="10">
        <v>-3.2000000000000002E-3</v>
      </c>
      <c r="AU80" s="10">
        <v>3.3E-3</v>
      </c>
      <c r="AV80" s="10">
        <v>-0.1025833906580762</v>
      </c>
      <c r="AW80" s="10">
        <v>-0.11219999999999999</v>
      </c>
      <c r="AX80" s="10">
        <v>-9.4000000000000004E-3</v>
      </c>
      <c r="AY80" s="10">
        <v>8.8000000000000005E-3</v>
      </c>
      <c r="AZ80" s="10">
        <v>-6.2881939584400914E-2</v>
      </c>
      <c r="BA80" s="10">
        <v>-6.2899999999999998E-2</v>
      </c>
      <c r="BB80" s="10">
        <v>-1.29E-2</v>
      </c>
      <c r="BC80" s="10">
        <v>0.01</v>
      </c>
      <c r="BD80" s="10">
        <v>1.9659210919592029</v>
      </c>
      <c r="BE80" s="10">
        <v>1.3234999999999999</v>
      </c>
      <c r="BF80" s="10">
        <v>-0.3226</v>
      </c>
      <c r="BG80" s="10">
        <v>0.28289999999999998</v>
      </c>
      <c r="BH80" s="13">
        <v>6153.87109375</v>
      </c>
      <c r="BI80" s="11">
        <v>14.61727100653207</v>
      </c>
      <c r="BJ80" s="13">
        <v>5591.5684422630638</v>
      </c>
      <c r="BK80" s="11">
        <v>1.0711816939201271</v>
      </c>
      <c r="BL80" s="13">
        <v>11745.43953601306</v>
      </c>
      <c r="BM80" s="11">
        <v>7.844226350226096</v>
      </c>
    </row>
    <row r="81" spans="1:65" ht="27" customHeight="1">
      <c r="A81" s="4">
        <v>79</v>
      </c>
      <c r="B81" s="7">
        <f t="shared" si="2"/>
        <v>0.65233333333333343</v>
      </c>
      <c r="C81" s="8">
        <v>3</v>
      </c>
      <c r="D81" s="8" t="s">
        <v>74</v>
      </c>
      <c r="E81" s="5" t="s">
        <v>76</v>
      </c>
      <c r="F81" s="4">
        <v>0.65300000000000002</v>
      </c>
      <c r="G81" s="3" t="s">
        <v>75</v>
      </c>
      <c r="H81" s="5" t="s">
        <v>74</v>
      </c>
      <c r="I81" s="4">
        <v>0.65200000000000002</v>
      </c>
      <c r="J81" s="3" t="s">
        <v>75</v>
      </c>
      <c r="K81" s="5" t="s">
        <v>74</v>
      </c>
      <c r="L81" s="4">
        <v>0.65200000000000002</v>
      </c>
      <c r="M81" s="3" t="s">
        <v>75</v>
      </c>
      <c r="N81" s="6" t="s">
        <v>103</v>
      </c>
      <c r="P81">
        <v>42.005794999999999</v>
      </c>
      <c r="Q81">
        <v>-3.3455384000000001</v>
      </c>
      <c r="R81">
        <v>9.3710000000000004</v>
      </c>
      <c r="S81">
        <v>2.3E-2</v>
      </c>
      <c r="T81" s="10">
        <v>-0.1441608981463674</v>
      </c>
      <c r="U81" s="10">
        <v>-0.1431</v>
      </c>
      <c r="V81" s="10">
        <v>-5.1000000000000004E-3</v>
      </c>
      <c r="W81" s="10">
        <v>1.1299999999999999E-2</v>
      </c>
      <c r="X81" s="10">
        <v>-0.1180149404142844</v>
      </c>
      <c r="Y81" s="10">
        <v>-0.1203</v>
      </c>
      <c r="Z81" s="10">
        <v>-5.4000000000000003E-3</v>
      </c>
      <c r="AA81" s="10">
        <v>5.4999999999999997E-3</v>
      </c>
      <c r="AB81" s="10">
        <v>-3.140833683461107</v>
      </c>
      <c r="AC81" s="10">
        <v>-3.1392000000000002</v>
      </c>
      <c r="AD81" s="10">
        <v>-1.8E-3</v>
      </c>
      <c r="AE81" s="10">
        <v>4.1999999999999997E-3</v>
      </c>
      <c r="AF81" s="10">
        <v>111.9513113294193</v>
      </c>
      <c r="AG81" s="10">
        <v>116.3454</v>
      </c>
      <c r="AH81" s="10">
        <v>-4.8833000000000002</v>
      </c>
      <c r="AI81" s="10">
        <v>5.7351999999999999</v>
      </c>
      <c r="AJ81" s="10">
        <v>0.75349903330134615</v>
      </c>
      <c r="AK81" s="10">
        <v>0.76500000000000001</v>
      </c>
      <c r="AL81" s="10">
        <v>-1.2E-2</v>
      </c>
      <c r="AM81" s="10">
        <v>1.9199999999999998E-2</v>
      </c>
      <c r="AN81" s="10">
        <v>0.58276512156805715</v>
      </c>
      <c r="AO81" s="10">
        <v>0.57779999999999998</v>
      </c>
      <c r="AP81" s="10">
        <v>-7.9000000000000008E-3</v>
      </c>
      <c r="AQ81" s="10">
        <v>6.0000000000000001E-3</v>
      </c>
      <c r="AR81" s="10">
        <v>4.9766794695984231</v>
      </c>
      <c r="AS81" s="10">
        <v>4.9766000000000004</v>
      </c>
      <c r="AT81" s="10">
        <v>-2.3E-3</v>
      </c>
      <c r="AU81" s="10">
        <v>2.3E-3</v>
      </c>
      <c r="AV81" s="10">
        <v>0.26154974022939831</v>
      </c>
      <c r="AW81" s="10">
        <v>0.26279999999999998</v>
      </c>
      <c r="AX81" s="10">
        <v>-5.5999999999999999E-3</v>
      </c>
      <c r="AY81" s="10">
        <v>5.5999999999999999E-3</v>
      </c>
      <c r="AZ81" s="10">
        <v>6.529764545613026E-2</v>
      </c>
      <c r="BA81" s="10">
        <v>6.8699999999999997E-2</v>
      </c>
      <c r="BB81" s="10">
        <v>-4.7000000000000002E-3</v>
      </c>
      <c r="BC81" s="10">
        <v>4.7999999999999996E-3</v>
      </c>
      <c r="BD81" s="10">
        <v>1.042234444462567E-2</v>
      </c>
      <c r="BE81" s="10">
        <v>1.7500000000000002E-2</v>
      </c>
      <c r="BF81" s="10">
        <v>-5.4999999999999997E-3</v>
      </c>
      <c r="BG81" s="10">
        <v>1.18E-2</v>
      </c>
      <c r="BH81" s="13">
        <v>1356.934326171875</v>
      </c>
      <c r="BI81" s="11">
        <v>3.2231219148975652</v>
      </c>
      <c r="BJ81" s="13">
        <v>8210.7946782909603</v>
      </c>
      <c r="BK81" s="11">
        <v>1.5729491720863911</v>
      </c>
      <c r="BL81" s="13">
        <v>9567.7290044628353</v>
      </c>
      <c r="BM81" s="11">
        <v>2.3980355434919778</v>
      </c>
    </row>
    <row r="82" spans="1:65" ht="27" customHeight="1">
      <c r="A82" s="4">
        <v>80</v>
      </c>
      <c r="B82" s="7">
        <f t="shared" si="2"/>
        <v>0.59850000000000003</v>
      </c>
      <c r="C82" s="8">
        <v>3</v>
      </c>
      <c r="D82" s="8" t="s">
        <v>74</v>
      </c>
      <c r="E82" s="5" t="s">
        <v>74</v>
      </c>
      <c r="F82" s="4">
        <v>0.59850000000000003</v>
      </c>
      <c r="G82" s="3" t="s">
        <v>75</v>
      </c>
      <c r="H82" s="5" t="s">
        <v>74</v>
      </c>
      <c r="I82" s="4">
        <v>0.59799999999999998</v>
      </c>
      <c r="J82" s="3" t="s">
        <v>75</v>
      </c>
      <c r="K82" s="5" t="s">
        <v>74</v>
      </c>
      <c r="L82" s="4">
        <v>0.59899999999999998</v>
      </c>
      <c r="M82" s="3" t="s">
        <v>75</v>
      </c>
      <c r="N82" s="6"/>
      <c r="P82">
        <v>41.966109000000003</v>
      </c>
      <c r="Q82">
        <v>-3.3309641000000001</v>
      </c>
      <c r="R82">
        <v>10.055</v>
      </c>
      <c r="S82">
        <v>0.10100000000000001</v>
      </c>
      <c r="T82" s="10">
        <v>2.068430877624108E-2</v>
      </c>
      <c r="U82" s="10">
        <v>1.7999999999999999E-2</v>
      </c>
      <c r="V82" s="10">
        <v>-9.7000000000000003E-3</v>
      </c>
      <c r="W82" s="10">
        <v>9.7999999999999997E-3</v>
      </c>
      <c r="X82" s="10">
        <v>0.1499448035951465</v>
      </c>
      <c r="Y82" s="10">
        <v>0.1497</v>
      </c>
      <c r="Z82" s="10">
        <v>-5.9999999999999995E-4</v>
      </c>
      <c r="AA82" s="10">
        <v>2.9999999999999997E-4</v>
      </c>
      <c r="AB82" s="10">
        <v>-0.37528367936169232</v>
      </c>
      <c r="AC82" s="10">
        <v>-0.36909999999999998</v>
      </c>
      <c r="AD82" s="10">
        <v>-2.93E-2</v>
      </c>
      <c r="AE82" s="10">
        <v>2.9000000000000001E-2</v>
      </c>
      <c r="AF82" s="10">
        <v>244.86061283136289</v>
      </c>
      <c r="AG82" s="10">
        <v>188.1112</v>
      </c>
      <c r="AH82" s="10">
        <v>-17.349</v>
      </c>
      <c r="AI82" s="10">
        <v>16.7684</v>
      </c>
      <c r="AJ82" s="10">
        <v>0.99173715025702613</v>
      </c>
      <c r="AK82" s="10">
        <v>0.98619999999999997</v>
      </c>
      <c r="AL82" s="10">
        <v>-3.0000000000000001E-3</v>
      </c>
      <c r="AM82" s="10">
        <v>2.2000000000000001E-3</v>
      </c>
      <c r="AN82" s="10">
        <v>0.66467188531021604</v>
      </c>
      <c r="AO82" s="10">
        <v>0.67269999999999996</v>
      </c>
      <c r="AP82" s="10">
        <v>-5.1999999999999998E-3</v>
      </c>
      <c r="AQ82" s="10">
        <v>5.3E-3</v>
      </c>
      <c r="AR82" s="10">
        <v>4.9999874511972919</v>
      </c>
      <c r="AS82" s="10">
        <v>4.9999000000000002</v>
      </c>
      <c r="AT82" s="10">
        <v>-1E-4</v>
      </c>
      <c r="AU82" s="10">
        <v>0</v>
      </c>
      <c r="AV82" s="10">
        <v>-2.457113058790306E-2</v>
      </c>
      <c r="AW82" s="10">
        <v>-1.03E-2</v>
      </c>
      <c r="AX82" s="10">
        <v>-1.5800000000000002E-2</v>
      </c>
      <c r="AY82" s="10">
        <v>1.5800000000000002E-2</v>
      </c>
      <c r="AZ82" s="10">
        <v>-0.38159641610153588</v>
      </c>
      <c r="BA82" s="10">
        <v>-0.37719999999999998</v>
      </c>
      <c r="BB82" s="10">
        <v>-1.5699999999999999E-2</v>
      </c>
      <c r="BC82" s="10">
        <v>1.5699999999999999E-2</v>
      </c>
      <c r="BD82" s="10">
        <v>1.0580247860918421E-2</v>
      </c>
      <c r="BE82" s="10">
        <v>1.9300000000000001E-2</v>
      </c>
      <c r="BF82" s="10">
        <v>-6.7999999999999996E-3</v>
      </c>
      <c r="BG82" s="10">
        <v>1.43E-2</v>
      </c>
      <c r="BH82" s="13">
        <v>7846.77783203125</v>
      </c>
      <c r="BI82" s="11">
        <v>19.61694458007813</v>
      </c>
      <c r="BJ82" s="13">
        <v>13211.478809623321</v>
      </c>
      <c r="BK82" s="11">
        <v>2.530934637858874</v>
      </c>
      <c r="BL82" s="13">
        <v>21058.256641654571</v>
      </c>
      <c r="BM82" s="11">
        <v>11.0739396089685</v>
      </c>
    </row>
    <row r="83" spans="1:65" ht="27" customHeight="1">
      <c r="A83" s="4">
        <v>81</v>
      </c>
      <c r="B83" s="7" t="str">
        <f t="shared" si="2"/>
        <v/>
      </c>
      <c r="C83" s="8"/>
      <c r="D83" s="8" t="s">
        <v>72</v>
      </c>
      <c r="E83" s="5" t="s">
        <v>73</v>
      </c>
      <c r="H83" s="5" t="s">
        <v>73</v>
      </c>
      <c r="I83" s="4"/>
      <c r="K83" s="5" t="s">
        <v>73</v>
      </c>
      <c r="N83" s="6"/>
      <c r="P83">
        <v>42.012715</v>
      </c>
      <c r="Q83">
        <v>-3.3552016999999998</v>
      </c>
    </row>
    <row r="84" spans="1:65" ht="27" customHeight="1">
      <c r="A84" s="4">
        <v>82</v>
      </c>
      <c r="B84" s="7">
        <f t="shared" si="2"/>
        <v>0.52283333333333337</v>
      </c>
      <c r="C84" s="8">
        <v>3</v>
      </c>
      <c r="D84" s="8" t="s">
        <v>74</v>
      </c>
      <c r="E84" s="5" t="s">
        <v>74</v>
      </c>
      <c r="F84" s="4">
        <v>0.52249999999999996</v>
      </c>
      <c r="G84" s="3" t="s">
        <v>75</v>
      </c>
      <c r="H84" s="5" t="s">
        <v>74</v>
      </c>
      <c r="I84" s="4">
        <v>0.52300000000000002</v>
      </c>
      <c r="J84" s="3" t="s">
        <v>75</v>
      </c>
      <c r="K84" s="5" t="s">
        <v>76</v>
      </c>
      <c r="L84" s="4">
        <v>0.52300000000000002</v>
      </c>
      <c r="M84" s="3" t="s">
        <v>75</v>
      </c>
      <c r="N84" s="6"/>
      <c r="P84">
        <v>42.006723000000001</v>
      </c>
      <c r="Q84">
        <v>-3.3560606000000002</v>
      </c>
      <c r="R84">
        <v>9.5820000000000007</v>
      </c>
      <c r="S84">
        <v>7.5999999999999998E-2</v>
      </c>
      <c r="T84" s="10">
        <v>-0.14925276757501099</v>
      </c>
      <c r="U84" s="10">
        <v>-0.1356</v>
      </c>
      <c r="V84" s="10">
        <v>-1.09E-2</v>
      </c>
      <c r="W84" s="10">
        <v>2.69E-2</v>
      </c>
      <c r="X84" s="10">
        <v>-1.140249279163791E-2</v>
      </c>
      <c r="Y84" s="10">
        <v>-1.9E-3</v>
      </c>
      <c r="Z84" s="10">
        <v>-2.4500000000000001E-2</v>
      </c>
      <c r="AA84" s="10">
        <v>2.3E-2</v>
      </c>
      <c r="AB84" s="10">
        <v>1.387837882231269E-2</v>
      </c>
      <c r="AC84" s="10">
        <v>8.8999999999999999E-3</v>
      </c>
      <c r="AD84" s="10">
        <v>-3.04E-2</v>
      </c>
      <c r="AE84" s="10">
        <v>3.32E-2</v>
      </c>
      <c r="AF84" s="10">
        <v>114.66292797606791</v>
      </c>
      <c r="AG84" s="10">
        <v>115.1525</v>
      </c>
      <c r="AH84" s="10">
        <v>-7.8506</v>
      </c>
      <c r="AI84" s="10">
        <v>8.93</v>
      </c>
      <c r="AJ84" s="10">
        <v>0.38577326824908981</v>
      </c>
      <c r="AK84" s="10">
        <v>0.39900000000000002</v>
      </c>
      <c r="AL84" s="10">
        <v>-1.2E-2</v>
      </c>
      <c r="AM84" s="10">
        <v>2.46E-2</v>
      </c>
      <c r="AN84" s="10">
        <v>0.89071484311521498</v>
      </c>
      <c r="AO84" s="10">
        <v>0.87809999999999999</v>
      </c>
      <c r="AP84" s="10">
        <v>-2.3199999999999998E-2</v>
      </c>
      <c r="AQ84" s="10">
        <v>1.37E-2</v>
      </c>
      <c r="AR84" s="10">
        <v>4.7918695324105478</v>
      </c>
      <c r="AS84" s="10">
        <v>4.7938000000000001</v>
      </c>
      <c r="AT84" s="10">
        <v>-3.2000000000000002E-3</v>
      </c>
      <c r="AU84" s="10">
        <v>3.0999999999999999E-3</v>
      </c>
      <c r="AV84" s="10">
        <v>-3.695427415404406E-3</v>
      </c>
      <c r="AW84" s="10">
        <v>-1.6999999999999999E-3</v>
      </c>
      <c r="AX84" s="10">
        <v>-1.52E-2</v>
      </c>
      <c r="AY84" s="10">
        <v>1.67E-2</v>
      </c>
      <c r="AZ84" s="10">
        <v>-0.23034458450904791</v>
      </c>
      <c r="BA84" s="10">
        <v>-0.23949999999999999</v>
      </c>
      <c r="BB84" s="10">
        <v>-1.3100000000000001E-2</v>
      </c>
      <c r="BC84" s="10">
        <v>6.8999999999999999E-3</v>
      </c>
      <c r="BD84" s="10">
        <v>0.38150324616420328</v>
      </c>
      <c r="BE84" s="10">
        <v>0.36049999999999999</v>
      </c>
      <c r="BF84" s="10">
        <v>-7.7399999999999997E-2</v>
      </c>
      <c r="BG84" s="10">
        <v>9.5000000000000001E-2</v>
      </c>
      <c r="BH84" s="13">
        <v>910.07843017578125</v>
      </c>
      <c r="BI84" s="11">
        <v>2.1617064849781031</v>
      </c>
      <c r="BJ84" s="13">
        <v>3702.005732458173</v>
      </c>
      <c r="BK84" s="11">
        <v>0.70919650047091443</v>
      </c>
      <c r="BL84" s="13">
        <v>4612.0841626339543</v>
      </c>
      <c r="BM84" s="11">
        <v>1.435451492724509</v>
      </c>
    </row>
    <row r="85" spans="1:65" ht="27" customHeight="1">
      <c r="A85" s="4">
        <v>83</v>
      </c>
      <c r="B85" s="7" t="str">
        <f t="shared" si="2"/>
        <v/>
      </c>
      <c r="C85" s="8"/>
      <c r="D85" s="8" t="s">
        <v>72</v>
      </c>
      <c r="E85" s="5" t="s">
        <v>71</v>
      </c>
      <c r="H85" s="5" t="s">
        <v>73</v>
      </c>
      <c r="I85" s="4"/>
      <c r="K85" s="5" t="s">
        <v>71</v>
      </c>
      <c r="N85" s="6"/>
      <c r="P85">
        <v>42.033814999999997</v>
      </c>
      <c r="Q85">
        <v>-3.3721166999999999</v>
      </c>
    </row>
    <row r="86" spans="1:65" ht="27" customHeight="1">
      <c r="A86" s="4">
        <v>84</v>
      </c>
      <c r="B86" s="7">
        <f t="shared" si="2"/>
        <v>0.76683333333333337</v>
      </c>
      <c r="C86" s="8">
        <v>3</v>
      </c>
      <c r="D86" s="8" t="s">
        <v>74</v>
      </c>
      <c r="E86" s="5" t="s">
        <v>76</v>
      </c>
      <c r="F86" s="4">
        <v>0.76649999999999996</v>
      </c>
      <c r="G86" s="3" t="s">
        <v>89</v>
      </c>
      <c r="H86" s="5" t="s">
        <v>74</v>
      </c>
      <c r="I86" s="4">
        <v>0.76700000000000002</v>
      </c>
      <c r="J86" s="3" t="s">
        <v>80</v>
      </c>
      <c r="K86" s="5" t="s">
        <v>76</v>
      </c>
      <c r="L86" s="4">
        <v>0.76700000000000002</v>
      </c>
      <c r="M86" s="3" t="s">
        <v>80</v>
      </c>
      <c r="N86" s="6"/>
      <c r="P86">
        <v>42.010092</v>
      </c>
      <c r="Q86">
        <v>-3.3650150000000001</v>
      </c>
      <c r="R86">
        <v>9.7520000000000007</v>
      </c>
      <c r="S86">
        <v>8.0000000000000002E-3</v>
      </c>
      <c r="T86" s="10">
        <v>-3.0474286185258599E-3</v>
      </c>
      <c r="U86" s="10">
        <v>-7.6E-3</v>
      </c>
      <c r="V86" s="10">
        <v>-2.5100000000000001E-2</v>
      </c>
      <c r="W86" s="10">
        <v>3.1899999999999998E-2</v>
      </c>
      <c r="X86" s="10">
        <v>6.1423650322126037E-2</v>
      </c>
      <c r="Y86" s="10">
        <v>5.16E-2</v>
      </c>
      <c r="Z86" s="10">
        <v>-2.9000000000000001E-2</v>
      </c>
      <c r="AA86" s="10">
        <v>3.6999999999999998E-2</v>
      </c>
      <c r="AB86" s="10">
        <v>-1.068697090215452</v>
      </c>
      <c r="AC86" s="10">
        <v>-1.0721000000000001</v>
      </c>
      <c r="AD86" s="10">
        <v>-7.0599999999999996E-2</v>
      </c>
      <c r="AE86" s="10">
        <v>7.5399999999999995E-2</v>
      </c>
      <c r="AF86" s="10">
        <v>165.96392114126061</v>
      </c>
      <c r="AG86" s="10">
        <v>135.57749999999999</v>
      </c>
      <c r="AH86" s="10">
        <v>-15.6729</v>
      </c>
      <c r="AI86" s="10">
        <v>16.505700000000001</v>
      </c>
      <c r="AJ86" s="10">
        <v>0.76383819454155022</v>
      </c>
      <c r="AK86" s="10">
        <v>0.78449999999999998</v>
      </c>
      <c r="AL86" s="10">
        <v>-6.8400000000000002E-2</v>
      </c>
      <c r="AM86" s="10">
        <v>5.9700000000000003E-2</v>
      </c>
      <c r="AN86" s="10">
        <v>0.96278600086565391</v>
      </c>
      <c r="AO86" s="10">
        <v>0.95760000000000001</v>
      </c>
      <c r="AP86" s="10">
        <v>-3.4099999999999998E-2</v>
      </c>
      <c r="AQ86" s="10">
        <v>4.2900000000000001E-2</v>
      </c>
      <c r="AR86" s="10">
        <v>4.7751138462773017</v>
      </c>
      <c r="AS86" s="10">
        <v>4.7774000000000001</v>
      </c>
      <c r="AT86" s="10">
        <v>-4.8999999999999998E-3</v>
      </c>
      <c r="AU86" s="10">
        <v>4.7000000000000002E-3</v>
      </c>
      <c r="AV86" s="10">
        <v>-0.19045345216872131</v>
      </c>
      <c r="AW86" s="10">
        <v>-0.1885</v>
      </c>
      <c r="AX86" s="10">
        <v>-8.0000000000000002E-3</v>
      </c>
      <c r="AY86" s="10">
        <v>8.0000000000000002E-3</v>
      </c>
      <c r="AZ86" s="10">
        <v>-2.458941704955242E-2</v>
      </c>
      <c r="BA86" s="10">
        <v>-2.29E-2</v>
      </c>
      <c r="BB86" s="10">
        <v>-1.29E-2</v>
      </c>
      <c r="BC86" s="10">
        <v>1.21E-2</v>
      </c>
      <c r="BD86" s="10">
        <v>0.85834584022299099</v>
      </c>
      <c r="BE86" s="10">
        <v>0.59619999999999995</v>
      </c>
      <c r="BF86" s="10">
        <v>-0.1933</v>
      </c>
      <c r="BG86" s="10">
        <v>0.23369999999999999</v>
      </c>
      <c r="BH86" s="13">
        <v>1508.08837890625</v>
      </c>
      <c r="BI86" s="11">
        <v>3.548443244485294</v>
      </c>
      <c r="BJ86" s="13">
        <v>2520.0847119743289</v>
      </c>
      <c r="BK86" s="11">
        <v>0.71920225798354143</v>
      </c>
      <c r="BL86" s="13">
        <v>4028.1730908805789</v>
      </c>
      <c r="BM86" s="11">
        <v>2.1338227512344181</v>
      </c>
    </row>
    <row r="87" spans="1:65" ht="27" customHeight="1">
      <c r="A87" s="4">
        <v>85</v>
      </c>
      <c r="B87" s="7" t="str">
        <f t="shared" si="2"/>
        <v/>
      </c>
      <c r="C87" s="8"/>
      <c r="D87" s="8" t="s">
        <v>97</v>
      </c>
      <c r="E87" s="5" t="s">
        <v>98</v>
      </c>
      <c r="H87" s="5" t="s">
        <v>98</v>
      </c>
      <c r="I87" s="4"/>
      <c r="K87" s="5" t="s">
        <v>98</v>
      </c>
      <c r="N87" s="6"/>
      <c r="P87">
        <v>41.982928000000001</v>
      </c>
      <c r="Q87">
        <v>-3.3570578000000002</v>
      </c>
    </row>
    <row r="88" spans="1:65" ht="27" customHeight="1">
      <c r="A88" s="4">
        <v>86</v>
      </c>
      <c r="B88" s="7" t="str">
        <f t="shared" si="2"/>
        <v/>
      </c>
      <c r="C88" s="8"/>
      <c r="D88" s="8" t="s">
        <v>72</v>
      </c>
      <c r="E88" s="5" t="s">
        <v>73</v>
      </c>
      <c r="H88" s="5" t="s">
        <v>73</v>
      </c>
      <c r="I88" s="4"/>
      <c r="K88" s="5" t="s">
        <v>73</v>
      </c>
      <c r="N88" s="6"/>
      <c r="P88">
        <v>42.004756</v>
      </c>
      <c r="Q88">
        <v>-3.370215</v>
      </c>
    </row>
    <row r="89" spans="1:65" ht="27" customHeight="1">
      <c r="A89" s="4">
        <v>87</v>
      </c>
      <c r="B89" s="7">
        <f t="shared" si="2"/>
        <v>0.7413333333333334</v>
      </c>
      <c r="C89" s="8">
        <v>3</v>
      </c>
      <c r="D89" s="8" t="s">
        <v>74</v>
      </c>
      <c r="E89" s="5" t="s">
        <v>74</v>
      </c>
      <c r="F89" s="4">
        <v>0.74150000000000005</v>
      </c>
      <c r="G89" s="3" t="s">
        <v>89</v>
      </c>
      <c r="H89" s="5" t="s">
        <v>74</v>
      </c>
      <c r="I89" s="4">
        <v>0.74099999999999999</v>
      </c>
      <c r="J89" s="3" t="s">
        <v>95</v>
      </c>
      <c r="K89" s="5" t="s">
        <v>76</v>
      </c>
      <c r="L89" s="4">
        <v>0.74150000000000005</v>
      </c>
      <c r="M89" s="3" t="s">
        <v>89</v>
      </c>
      <c r="N89" s="6"/>
      <c r="O89" s="3" t="s">
        <v>78</v>
      </c>
      <c r="P89">
        <v>42.013010999999999</v>
      </c>
      <c r="Q89">
        <v>-3.3793457</v>
      </c>
      <c r="R89">
        <v>9.2379999999999995</v>
      </c>
      <c r="S89">
        <v>2.8000000000000001E-2</v>
      </c>
      <c r="T89" s="10">
        <v>-8.4986007948166922E-2</v>
      </c>
      <c r="U89" s="10">
        <v>-8.2799999999999999E-2</v>
      </c>
      <c r="V89" s="10">
        <v>-1.5699999999999999E-2</v>
      </c>
      <c r="W89" s="10">
        <v>1.52E-2</v>
      </c>
      <c r="X89" s="10">
        <v>-9.0654431871103835E-2</v>
      </c>
      <c r="Y89" s="10">
        <v>-9.5699999999999993E-2</v>
      </c>
      <c r="Z89" s="10">
        <v>-2.12E-2</v>
      </c>
      <c r="AA89" s="10">
        <v>2.3699999999999999E-2</v>
      </c>
      <c r="AB89" s="10">
        <v>-0.62236271719798708</v>
      </c>
      <c r="AC89" s="10">
        <v>-0.66</v>
      </c>
      <c r="AD89" s="10">
        <v>-3.56E-2</v>
      </c>
      <c r="AE89" s="10">
        <v>3.6999999999999998E-2</v>
      </c>
      <c r="AF89" s="10">
        <v>79.351832572554301</v>
      </c>
      <c r="AG89" s="10">
        <v>85.817599999999999</v>
      </c>
      <c r="AH89" s="10">
        <v>-9.5548999999999999</v>
      </c>
      <c r="AI89" s="10">
        <v>11.8369</v>
      </c>
      <c r="AJ89" s="10">
        <v>0.87081824615576864</v>
      </c>
      <c r="AK89" s="10">
        <v>0.88300000000000001</v>
      </c>
      <c r="AL89" s="10">
        <v>-3.56E-2</v>
      </c>
      <c r="AM89" s="10">
        <v>0.03</v>
      </c>
      <c r="AN89" s="10">
        <v>0.25942012843454249</v>
      </c>
      <c r="AO89" s="10">
        <v>0.25669999999999998</v>
      </c>
      <c r="AP89" s="10">
        <v>-6.7999999999999996E-3</v>
      </c>
      <c r="AQ89" s="10">
        <v>7.4000000000000003E-3</v>
      </c>
      <c r="AR89" s="10">
        <v>4.4274719595715162</v>
      </c>
      <c r="AS89" s="10">
        <v>4.4241000000000001</v>
      </c>
      <c r="AT89" s="10">
        <v>-4.1000000000000003E-3</v>
      </c>
      <c r="AU89" s="10">
        <v>4.0000000000000001E-3</v>
      </c>
      <c r="AV89" s="10">
        <v>-2.7159000817144729E-2</v>
      </c>
      <c r="AW89" s="10">
        <v>-4.48E-2</v>
      </c>
      <c r="AX89" s="10">
        <v>-2.1499999999999998E-2</v>
      </c>
      <c r="AY89" s="10">
        <v>2.2499999999999999E-2</v>
      </c>
      <c r="AZ89" s="10">
        <v>-0.45472546821302712</v>
      </c>
      <c r="BA89" s="10">
        <v>-0.45429999999999998</v>
      </c>
      <c r="BB89" s="10">
        <v>-2.35E-2</v>
      </c>
      <c r="BC89" s="10">
        <v>2.3400000000000001E-2</v>
      </c>
      <c r="BD89" s="10">
        <v>1.042048369600591E-2</v>
      </c>
      <c r="BE89" s="10">
        <v>1.6299999999999999E-2</v>
      </c>
      <c r="BF89" s="10">
        <v>-4.7999999999999996E-3</v>
      </c>
      <c r="BG89" s="10">
        <v>9.4000000000000004E-3</v>
      </c>
      <c r="BH89" s="13">
        <v>1925.818115234375</v>
      </c>
      <c r="BI89" s="11">
        <v>4.5313367417279409</v>
      </c>
      <c r="BJ89" s="13">
        <v>5626.8183016038683</v>
      </c>
      <c r="BK89" s="11">
        <v>1.6058271408686839</v>
      </c>
      <c r="BL89" s="13">
        <v>7552.6364168382433</v>
      </c>
      <c r="BM89" s="11">
        <v>3.0685819412983131</v>
      </c>
    </row>
    <row r="90" spans="1:65" ht="27" customHeight="1">
      <c r="A90" s="4">
        <v>88</v>
      </c>
      <c r="B90" s="7">
        <f t="shared" si="2"/>
        <v>0.71150000000000002</v>
      </c>
      <c r="C90" s="8">
        <v>3</v>
      </c>
      <c r="D90" s="8" t="s">
        <v>74</v>
      </c>
      <c r="E90" s="5" t="s">
        <v>74</v>
      </c>
      <c r="F90" s="4">
        <v>0.71150000000000002</v>
      </c>
      <c r="G90" s="3" t="s">
        <v>75</v>
      </c>
      <c r="H90" s="5" t="s">
        <v>74</v>
      </c>
      <c r="I90" s="4">
        <v>0.71199999999999997</v>
      </c>
      <c r="J90" s="3" t="s">
        <v>75</v>
      </c>
      <c r="K90" s="5" t="s">
        <v>74</v>
      </c>
      <c r="L90" s="4">
        <v>0.71099999999999997</v>
      </c>
      <c r="M90" s="3" t="s">
        <v>80</v>
      </c>
      <c r="N90" s="6"/>
      <c r="P90">
        <v>42.024037999999997</v>
      </c>
      <c r="Q90">
        <v>-3.3882531</v>
      </c>
      <c r="R90">
        <v>9.3810000000000002</v>
      </c>
      <c r="S90">
        <v>8.1000000000000003E-2</v>
      </c>
      <c r="T90" s="10">
        <v>-0.1474686414335864</v>
      </c>
      <c r="U90" s="10">
        <v>-0.14530000000000001</v>
      </c>
      <c r="V90" s="10">
        <v>-3.3999999999999998E-3</v>
      </c>
      <c r="W90" s="10">
        <v>7.4000000000000003E-3</v>
      </c>
      <c r="X90" s="10">
        <v>-0.14353535771127379</v>
      </c>
      <c r="Y90" s="10">
        <v>-0.14510000000000001</v>
      </c>
      <c r="Z90" s="10">
        <v>-3.5999999999999999E-3</v>
      </c>
      <c r="AA90" s="10">
        <v>8.6999999999999994E-3</v>
      </c>
      <c r="AB90" s="10">
        <v>2.6291484541210259</v>
      </c>
      <c r="AC90" s="10">
        <v>2.6200999999999999</v>
      </c>
      <c r="AD90" s="10">
        <v>-2.8799999999999999E-2</v>
      </c>
      <c r="AE90" s="10">
        <v>3.0300000000000001E-2</v>
      </c>
      <c r="AF90" s="10">
        <v>70.205768045277253</v>
      </c>
      <c r="AG90" s="10">
        <v>74.069299999999998</v>
      </c>
      <c r="AH90" s="10">
        <v>-3.2315</v>
      </c>
      <c r="AI90" s="10">
        <v>3.41</v>
      </c>
      <c r="AJ90" s="10">
        <v>0.68977031585407766</v>
      </c>
      <c r="AK90" s="10">
        <v>0.71619999999999995</v>
      </c>
      <c r="AL90" s="10">
        <v>-2.4E-2</v>
      </c>
      <c r="AM90" s="10">
        <v>2.4199999999999999E-2</v>
      </c>
      <c r="AN90" s="10">
        <v>0.53189853702975687</v>
      </c>
      <c r="AO90" s="10">
        <v>0.53200000000000003</v>
      </c>
      <c r="AP90" s="10">
        <v>-1.2E-2</v>
      </c>
      <c r="AQ90" s="10">
        <v>1.18E-2</v>
      </c>
      <c r="AR90" s="10">
        <v>4.4116194721780921</v>
      </c>
      <c r="AS90" s="10">
        <v>4.4142000000000001</v>
      </c>
      <c r="AT90" s="10">
        <v>-5.8999999999999999E-3</v>
      </c>
      <c r="AU90" s="10">
        <v>5.7000000000000002E-3</v>
      </c>
      <c r="AV90" s="10">
        <v>8.9591335994323229E-2</v>
      </c>
      <c r="AW90" s="10">
        <v>8.7400000000000005E-2</v>
      </c>
      <c r="AX90" s="10">
        <v>-1.49E-2</v>
      </c>
      <c r="AY90" s="10">
        <v>1.4800000000000001E-2</v>
      </c>
      <c r="AZ90" s="10">
        <v>0.27086974364451039</v>
      </c>
      <c r="BA90" s="10">
        <v>0.2752</v>
      </c>
      <c r="BB90" s="10">
        <v>-1.24E-2</v>
      </c>
      <c r="BC90" s="10">
        <v>1.21E-2</v>
      </c>
      <c r="BD90" s="10">
        <v>1.03388797505001E-2</v>
      </c>
      <c r="BE90" s="10">
        <v>1.8499999999999999E-2</v>
      </c>
      <c r="BF90" s="10">
        <v>-6.1999999999999998E-3</v>
      </c>
      <c r="BG90" s="10">
        <v>1.2800000000000001E-2</v>
      </c>
      <c r="BH90" s="13">
        <v>964.43780517578125</v>
      </c>
      <c r="BI90" s="11">
        <v>2.2908261405600499</v>
      </c>
      <c r="BJ90" s="13">
        <v>7924.35374276127</v>
      </c>
      <c r="BK90" s="11">
        <v>1.518075429647753</v>
      </c>
      <c r="BL90" s="13">
        <v>8888.7915479370513</v>
      </c>
      <c r="BM90" s="11">
        <v>1.904450785103901</v>
      </c>
    </row>
    <row r="91" spans="1:65" ht="27" customHeight="1">
      <c r="A91" s="4">
        <v>89</v>
      </c>
      <c r="B91" s="7">
        <f t="shared" si="2"/>
        <v>0.50800000000000001</v>
      </c>
      <c r="C91" s="8">
        <v>3</v>
      </c>
      <c r="D91" s="8" t="s">
        <v>74</v>
      </c>
      <c r="E91" s="5" t="s">
        <v>74</v>
      </c>
      <c r="F91" s="4">
        <v>0.50800000000000001</v>
      </c>
      <c r="G91" s="3" t="s">
        <v>75</v>
      </c>
      <c r="H91" s="5" t="s">
        <v>74</v>
      </c>
      <c r="I91" s="4">
        <v>0.50800000000000001</v>
      </c>
      <c r="J91" s="3" t="s">
        <v>75</v>
      </c>
      <c r="K91" s="5" t="s">
        <v>76</v>
      </c>
      <c r="L91" s="4">
        <v>0.50800000000000001</v>
      </c>
      <c r="M91" s="3" t="s">
        <v>89</v>
      </c>
      <c r="N91" s="6"/>
      <c r="P91">
        <v>41.945191999999999</v>
      </c>
      <c r="Q91">
        <v>-3.3555771000000001</v>
      </c>
      <c r="R91">
        <v>8.7810000000000006</v>
      </c>
      <c r="S91">
        <v>0.106</v>
      </c>
      <c r="T91" s="10">
        <v>-0.1483857790831962</v>
      </c>
      <c r="U91" s="10">
        <v>-0.1419</v>
      </c>
      <c r="V91" s="10">
        <v>-5.8999999999999999E-3</v>
      </c>
      <c r="W91" s="10">
        <v>8.8999999999999999E-3</v>
      </c>
      <c r="X91" s="10">
        <v>0.14878946577875291</v>
      </c>
      <c r="Y91" s="10">
        <v>0.1482</v>
      </c>
      <c r="Z91" s="10">
        <v>-2.8999999999999998E-3</v>
      </c>
      <c r="AA91" s="10">
        <v>1.2999999999999999E-3</v>
      </c>
      <c r="AB91" s="10">
        <v>2.0002385344496041</v>
      </c>
      <c r="AC91" s="10">
        <v>1.9823</v>
      </c>
      <c r="AD91" s="10">
        <v>-4.0399999999999998E-2</v>
      </c>
      <c r="AE91" s="10">
        <v>4.0500000000000001E-2</v>
      </c>
      <c r="AF91" s="10">
        <v>120.5842697025018</v>
      </c>
      <c r="AG91" s="10">
        <v>105.2903</v>
      </c>
      <c r="AH91" s="10">
        <v>-7.1719999999999997</v>
      </c>
      <c r="AI91" s="10">
        <v>7.6435000000000004</v>
      </c>
      <c r="AJ91" s="10">
        <v>0.92571269246340282</v>
      </c>
      <c r="AK91" s="10">
        <v>0.8982</v>
      </c>
      <c r="AL91" s="10">
        <v>-1.6299999999999999E-2</v>
      </c>
      <c r="AM91" s="10">
        <v>1.44E-2</v>
      </c>
      <c r="AN91" s="10">
        <v>0.56238288602121567</v>
      </c>
      <c r="AO91" s="10">
        <v>0.56859999999999999</v>
      </c>
      <c r="AP91" s="10">
        <v>-9.9000000000000008E-3</v>
      </c>
      <c r="AQ91" s="10">
        <v>9.7999999999999997E-3</v>
      </c>
      <c r="AR91" s="10">
        <v>4.4375151114975253</v>
      </c>
      <c r="AS91" s="10">
        <v>4.4385000000000003</v>
      </c>
      <c r="AT91" s="10">
        <v>-5.7999999999999996E-3</v>
      </c>
      <c r="AU91" s="10">
        <v>5.5999999999999999E-3</v>
      </c>
      <c r="AV91" s="10">
        <v>0.39389261704238598</v>
      </c>
      <c r="AW91" s="10">
        <v>0.3962</v>
      </c>
      <c r="AX91" s="10">
        <v>-1.4E-2</v>
      </c>
      <c r="AY91" s="10">
        <v>1.3899999999999999E-2</v>
      </c>
      <c r="AZ91" s="10">
        <v>-4.9424031323137552E-2</v>
      </c>
      <c r="BA91" s="10">
        <v>-5.0799999999999998E-2</v>
      </c>
      <c r="BB91" s="10">
        <v>-1.9800000000000002E-2</v>
      </c>
      <c r="BC91" s="10">
        <v>1.9199999999999998E-2</v>
      </c>
      <c r="BD91" s="10">
        <v>1.153399110339802E-2</v>
      </c>
      <c r="BE91" s="10">
        <v>1.8700000000000001E-2</v>
      </c>
      <c r="BF91" s="10">
        <v>-6.4000000000000003E-3</v>
      </c>
      <c r="BG91" s="10">
        <v>1.37E-2</v>
      </c>
      <c r="BH91" s="13">
        <v>1163.441528320312</v>
      </c>
      <c r="BI91" s="11">
        <v>2.763519069644448</v>
      </c>
      <c r="BJ91" s="13">
        <v>5252.6223627775826</v>
      </c>
      <c r="BK91" s="11">
        <v>1.006249494784978</v>
      </c>
      <c r="BL91" s="13">
        <v>6416.063891097896</v>
      </c>
      <c r="BM91" s="11">
        <v>1.8848842822147129</v>
      </c>
    </row>
    <row r="92" spans="1:65" ht="27" customHeight="1">
      <c r="A92" s="4">
        <v>90</v>
      </c>
      <c r="B92" s="7">
        <f t="shared" si="2"/>
        <v>0.372</v>
      </c>
      <c r="C92" s="8">
        <v>3</v>
      </c>
      <c r="D92" s="8" t="s">
        <v>79</v>
      </c>
      <c r="E92" s="5" t="s">
        <v>73</v>
      </c>
      <c r="H92" s="5" t="s">
        <v>76</v>
      </c>
      <c r="I92" s="4">
        <v>0.372</v>
      </c>
      <c r="J92" s="3" t="s">
        <v>85</v>
      </c>
      <c r="K92" s="5" t="s">
        <v>76</v>
      </c>
      <c r="L92" s="4">
        <v>0.372</v>
      </c>
      <c r="M92" s="3" t="s">
        <v>85</v>
      </c>
      <c r="N92" s="6"/>
      <c r="O92" s="3" t="s">
        <v>104</v>
      </c>
      <c r="P92">
        <v>42.002538000000001</v>
      </c>
      <c r="Q92">
        <v>-3.3855729999999999</v>
      </c>
      <c r="R92">
        <v>9.9770000000000003</v>
      </c>
      <c r="S92">
        <v>3.0000000000000001E-3</v>
      </c>
      <c r="T92" s="10">
        <v>-0.1368846999914321</v>
      </c>
      <c r="U92" s="10">
        <v>-0.13750000000000001</v>
      </c>
      <c r="V92" s="10">
        <v>-8.8999999999999999E-3</v>
      </c>
      <c r="W92" s="10">
        <v>1.5299999999999999E-2</v>
      </c>
      <c r="X92" s="10">
        <v>0.1483046602005412</v>
      </c>
      <c r="Y92" s="10">
        <v>0.1462</v>
      </c>
      <c r="Z92" s="10">
        <v>-6.4999999999999997E-3</v>
      </c>
      <c r="AA92" s="10">
        <v>2.8E-3</v>
      </c>
      <c r="AB92" s="10">
        <v>0.3858679915431682</v>
      </c>
      <c r="AC92" s="10">
        <v>0.39250000000000002</v>
      </c>
      <c r="AD92" s="10">
        <v>-1.41E-2</v>
      </c>
      <c r="AE92" s="10">
        <v>1.83E-2</v>
      </c>
      <c r="AF92" s="10">
        <v>130.02913143039549</v>
      </c>
      <c r="AG92" s="10">
        <v>135.26300000000001</v>
      </c>
      <c r="AH92" s="10">
        <v>-6.9088000000000003</v>
      </c>
      <c r="AI92" s="10">
        <v>7.0711000000000004</v>
      </c>
      <c r="AJ92" s="10">
        <v>0.43326315381748748</v>
      </c>
      <c r="AK92" s="10">
        <v>0.432</v>
      </c>
      <c r="AL92" s="10">
        <v>-9.7000000000000003E-3</v>
      </c>
      <c r="AM92" s="10">
        <v>1.15E-2</v>
      </c>
      <c r="AN92" s="10">
        <v>0.73157126982632747</v>
      </c>
      <c r="AO92" s="10">
        <v>0.73529999999999995</v>
      </c>
      <c r="AP92" s="10">
        <v>-9.2999999999999992E-3</v>
      </c>
      <c r="AQ92" s="10">
        <v>8.5000000000000006E-3</v>
      </c>
      <c r="AR92" s="10">
        <v>4.9470017518018166</v>
      </c>
      <c r="AS92" s="10">
        <v>4.9481999999999999</v>
      </c>
      <c r="AT92" s="10">
        <v>-2.3999999999999998E-3</v>
      </c>
      <c r="AU92" s="10">
        <v>2.5000000000000001E-3</v>
      </c>
      <c r="AV92" s="10">
        <v>7.6239158727432921E-2</v>
      </c>
      <c r="AW92" s="10">
        <v>7.8E-2</v>
      </c>
      <c r="AX92" s="10">
        <v>-4.4999999999999997E-3</v>
      </c>
      <c r="AY92" s="10">
        <v>4.5999999999999999E-3</v>
      </c>
      <c r="AZ92" s="10">
        <v>5.031344666166504E-4</v>
      </c>
      <c r="BA92" s="10">
        <v>-4.0000000000000002E-4</v>
      </c>
      <c r="BB92" s="10">
        <v>-2.8999999999999998E-3</v>
      </c>
      <c r="BC92" s="10">
        <v>2.8E-3</v>
      </c>
      <c r="BD92" s="10">
        <v>1.0188544971313031E-2</v>
      </c>
      <c r="BE92" s="10">
        <v>1.29E-2</v>
      </c>
      <c r="BF92" s="10">
        <v>-2.2000000000000001E-3</v>
      </c>
      <c r="BG92" s="10">
        <v>4.4999999999999997E-3</v>
      </c>
      <c r="BH92" s="13">
        <v>1712.37744140625</v>
      </c>
      <c r="BI92" s="11">
        <v>4.0291233915441174</v>
      </c>
      <c r="BJ92" s="13">
        <v>3819.0420394057278</v>
      </c>
      <c r="BK92" s="11">
        <v>1.089909257821269</v>
      </c>
      <c r="BL92" s="13">
        <v>5531.4194808119773</v>
      </c>
      <c r="BM92" s="11">
        <v>2.559516324682694</v>
      </c>
    </row>
    <row r="93" spans="1:65" ht="27" customHeight="1">
      <c r="A93" s="4">
        <v>91</v>
      </c>
      <c r="B93" s="7">
        <f t="shared" si="2"/>
        <v>0.49533333333333335</v>
      </c>
      <c r="C93" s="8">
        <v>3</v>
      </c>
      <c r="D93" s="8" t="s">
        <v>74</v>
      </c>
      <c r="E93" s="5" t="s">
        <v>74</v>
      </c>
      <c r="F93" s="4">
        <v>0.496</v>
      </c>
      <c r="G93" s="3" t="s">
        <v>75</v>
      </c>
      <c r="H93" s="5" t="s">
        <v>74</v>
      </c>
      <c r="I93" s="4">
        <v>0.495</v>
      </c>
      <c r="J93" s="3" t="s">
        <v>75</v>
      </c>
      <c r="K93" s="5" t="s">
        <v>76</v>
      </c>
      <c r="L93" s="4">
        <v>0.495</v>
      </c>
      <c r="M93" s="3" t="s">
        <v>80</v>
      </c>
      <c r="N93" s="6"/>
      <c r="O93" s="3" t="s">
        <v>86</v>
      </c>
      <c r="P93">
        <v>41.986530999999999</v>
      </c>
      <c r="Q93">
        <v>-3.3820541999999998</v>
      </c>
      <c r="R93">
        <v>9.4830000000000005</v>
      </c>
      <c r="S93">
        <v>7.1999999999999995E-2</v>
      </c>
      <c r="T93" s="10">
        <v>-0.1382118403811553</v>
      </c>
      <c r="U93" s="10">
        <v>-0.12820000000000001</v>
      </c>
      <c r="V93" s="10">
        <v>-1.6E-2</v>
      </c>
      <c r="W93" s="10">
        <v>2.5399999999999999E-2</v>
      </c>
      <c r="X93" s="10">
        <v>6.3310368567231795E-2</v>
      </c>
      <c r="Y93" s="10">
        <v>6.6600000000000006E-2</v>
      </c>
      <c r="Z93" s="10">
        <v>-1.89E-2</v>
      </c>
      <c r="AA93" s="10">
        <v>2.3199999999999998E-2</v>
      </c>
      <c r="AB93" s="10">
        <v>1.932423492844938</v>
      </c>
      <c r="AC93" s="10">
        <v>1.9225000000000001</v>
      </c>
      <c r="AD93" s="10">
        <v>-2.01E-2</v>
      </c>
      <c r="AE93" s="10">
        <v>2.0799999999999999E-2</v>
      </c>
      <c r="AF93" s="10">
        <v>148.09601817090291</v>
      </c>
      <c r="AG93" s="10">
        <v>146.3569</v>
      </c>
      <c r="AH93" s="10">
        <v>-6.0979999999999999</v>
      </c>
      <c r="AI93" s="10">
        <v>5.9812000000000003</v>
      </c>
      <c r="AJ93" s="10">
        <v>0.54774098363545021</v>
      </c>
      <c r="AK93" s="10">
        <v>0.53310000000000002</v>
      </c>
      <c r="AL93" s="10">
        <v>-3.6299999999999999E-2</v>
      </c>
      <c r="AM93" s="10">
        <v>2.7E-2</v>
      </c>
      <c r="AN93" s="10">
        <v>0.73201936315136984</v>
      </c>
      <c r="AO93" s="10">
        <v>0.74160000000000004</v>
      </c>
      <c r="AP93" s="10">
        <v>-1.7500000000000002E-2</v>
      </c>
      <c r="AQ93" s="10">
        <v>2.41E-2</v>
      </c>
      <c r="AR93" s="10">
        <v>4.9394018077280322</v>
      </c>
      <c r="AS93" s="10">
        <v>4.9394999999999998</v>
      </c>
      <c r="AT93" s="10">
        <v>-2.7000000000000001E-3</v>
      </c>
      <c r="AU93" s="10">
        <v>2.7000000000000001E-3</v>
      </c>
      <c r="AV93" s="10">
        <v>0.24521511612933319</v>
      </c>
      <c r="AW93" s="10">
        <v>0.24299999999999999</v>
      </c>
      <c r="AX93" s="10">
        <v>-5.7000000000000002E-3</v>
      </c>
      <c r="AY93" s="10">
        <v>5.7000000000000002E-3</v>
      </c>
      <c r="AZ93" s="10">
        <v>-1.9314680888333768E-2</v>
      </c>
      <c r="BA93" s="10">
        <v>-1.9099999999999999E-2</v>
      </c>
      <c r="BB93" s="10">
        <v>-4.5999999999999999E-3</v>
      </c>
      <c r="BC93" s="10">
        <v>4.3E-3</v>
      </c>
      <c r="BD93" s="10">
        <v>0.1167360938551449</v>
      </c>
      <c r="BE93" s="10">
        <v>0.1023</v>
      </c>
      <c r="BF93" s="10">
        <v>-2.5899999999999999E-2</v>
      </c>
      <c r="BG93" s="10">
        <v>2.5499999999999998E-2</v>
      </c>
      <c r="BH93" s="13">
        <v>847.469482421875</v>
      </c>
      <c r="BI93" s="11">
        <v>1.9940458409926469</v>
      </c>
      <c r="BJ93" s="13">
        <v>3524.077396233331</v>
      </c>
      <c r="BK93" s="11">
        <v>1.0057298505232111</v>
      </c>
      <c r="BL93" s="13">
        <v>4371.5468786552055</v>
      </c>
      <c r="BM93" s="11">
        <v>1.499887845757929</v>
      </c>
    </row>
    <row r="94" spans="1:65" ht="27" customHeight="1">
      <c r="A94" s="4">
        <v>92</v>
      </c>
      <c r="B94" s="7">
        <f t="shared" si="2"/>
        <v>0.60299999999999998</v>
      </c>
      <c r="C94" s="8">
        <v>3</v>
      </c>
      <c r="D94" s="8" t="s">
        <v>79</v>
      </c>
      <c r="E94" s="5" t="s">
        <v>76</v>
      </c>
      <c r="F94" s="4">
        <v>0.60299999999999998</v>
      </c>
      <c r="G94" s="3" t="s">
        <v>80</v>
      </c>
      <c r="H94" s="5" t="s">
        <v>76</v>
      </c>
      <c r="I94" s="4">
        <v>0.60299999999999998</v>
      </c>
      <c r="J94" s="3" t="s">
        <v>80</v>
      </c>
      <c r="K94" s="5" t="s">
        <v>73</v>
      </c>
      <c r="N94" s="6"/>
      <c r="P94">
        <v>41.946962999999997</v>
      </c>
      <c r="Q94">
        <v>-3.3686725000000002</v>
      </c>
      <c r="R94">
        <v>10.087999999999999</v>
      </c>
      <c r="S94">
        <v>1.7999999999999999E-2</v>
      </c>
      <c r="T94" s="10">
        <v>-0.14748790404637019</v>
      </c>
      <c r="U94" s="10">
        <v>-0.14580000000000001</v>
      </c>
      <c r="V94" s="10">
        <v>-3.0999999999999999E-3</v>
      </c>
      <c r="W94" s="10">
        <v>6.6E-3</v>
      </c>
      <c r="X94" s="10">
        <v>-0.14712556608474439</v>
      </c>
      <c r="Y94" s="10">
        <v>-0.14530000000000001</v>
      </c>
      <c r="Z94" s="10">
        <v>-3.5000000000000001E-3</v>
      </c>
      <c r="AA94" s="10">
        <v>7.6E-3</v>
      </c>
      <c r="AB94" s="10">
        <v>-2.492653090094906</v>
      </c>
      <c r="AC94" s="10">
        <v>-2.4861</v>
      </c>
      <c r="AD94" s="10">
        <v>-0.01</v>
      </c>
      <c r="AE94" s="10">
        <v>1.23E-2</v>
      </c>
      <c r="AF94" s="10">
        <v>171.09535952797111</v>
      </c>
      <c r="AG94" s="10">
        <v>169.57140000000001</v>
      </c>
      <c r="AH94" s="10">
        <v>-5.3103999999999996</v>
      </c>
      <c r="AI94" s="10">
        <v>5.2984999999999998</v>
      </c>
      <c r="AJ94" s="10">
        <v>0.50116163341113407</v>
      </c>
      <c r="AK94" s="10">
        <v>0.50590000000000002</v>
      </c>
      <c r="AL94" s="10">
        <v>-7.6E-3</v>
      </c>
      <c r="AM94" s="10">
        <v>9.2999999999999992E-3</v>
      </c>
      <c r="AN94" s="10">
        <v>0.9395913284195283</v>
      </c>
      <c r="AO94" s="10">
        <v>0.9325</v>
      </c>
      <c r="AP94" s="10">
        <v>-8.6999999999999994E-3</v>
      </c>
      <c r="AQ94" s="10">
        <v>7.7999999999999996E-3</v>
      </c>
      <c r="AR94" s="10">
        <v>4.9999669036533678</v>
      </c>
      <c r="AS94" s="10">
        <v>4.9999000000000002</v>
      </c>
      <c r="AT94" s="10">
        <v>-2.0000000000000001E-4</v>
      </c>
      <c r="AU94" s="10">
        <v>1E-4</v>
      </c>
      <c r="AV94" s="10">
        <v>-0.12727877782849231</v>
      </c>
      <c r="AW94" s="10">
        <v>-0.12740000000000001</v>
      </c>
      <c r="AX94" s="10">
        <v>-5.7000000000000002E-3</v>
      </c>
      <c r="AY94" s="10">
        <v>5.5999999999999999E-3</v>
      </c>
      <c r="AZ94" s="10">
        <v>9.274338835185536E-2</v>
      </c>
      <c r="BA94" s="10">
        <v>9.3899999999999997E-2</v>
      </c>
      <c r="BB94" s="10">
        <v>-3.3E-3</v>
      </c>
      <c r="BC94" s="10">
        <v>3.5000000000000001E-3</v>
      </c>
      <c r="BD94" s="10">
        <v>1.0542006719506451E-2</v>
      </c>
      <c r="BE94" s="10">
        <v>2.12E-2</v>
      </c>
      <c r="BF94" s="10">
        <v>-8.5000000000000006E-3</v>
      </c>
      <c r="BG94" s="10">
        <v>1.7100000000000001E-2</v>
      </c>
      <c r="BH94" s="13">
        <v>2212.074462890625</v>
      </c>
      <c r="BI94" s="11">
        <v>5.2048810891544122</v>
      </c>
      <c r="BJ94" s="13">
        <v>3009.6029982741779</v>
      </c>
      <c r="BK94" s="11">
        <v>0.85890496526089555</v>
      </c>
      <c r="BL94" s="13">
        <v>5221.6774611648034</v>
      </c>
      <c r="BM94" s="11">
        <v>3.0318930272076541</v>
      </c>
    </row>
    <row r="95" spans="1:65" ht="27" customHeight="1">
      <c r="A95" s="4">
        <v>93</v>
      </c>
      <c r="B95" s="7">
        <f t="shared" si="2"/>
        <v>0.49616666666666664</v>
      </c>
      <c r="C95" s="8">
        <v>3</v>
      </c>
      <c r="D95" s="8" t="s">
        <v>74</v>
      </c>
      <c r="E95" s="5" t="s">
        <v>74</v>
      </c>
      <c r="F95" s="4">
        <v>0.4965</v>
      </c>
      <c r="G95" s="3" t="s">
        <v>77</v>
      </c>
      <c r="H95" s="5" t="s">
        <v>74</v>
      </c>
      <c r="I95" s="4">
        <v>0.496</v>
      </c>
      <c r="J95" s="3" t="s">
        <v>86</v>
      </c>
      <c r="K95" s="5" t="s">
        <v>74</v>
      </c>
      <c r="L95" s="4">
        <v>0.496</v>
      </c>
      <c r="M95" s="3" t="s">
        <v>86</v>
      </c>
      <c r="N95" s="6"/>
      <c r="P95">
        <v>41.991233999999999</v>
      </c>
      <c r="Q95">
        <v>-3.3921611999999999</v>
      </c>
      <c r="R95">
        <v>9.2279999999999998</v>
      </c>
      <c r="S95">
        <v>0.106</v>
      </c>
      <c r="T95" s="10">
        <v>-0.1306878133055645</v>
      </c>
      <c r="U95" s="10">
        <v>-0.1419</v>
      </c>
      <c r="V95" s="10">
        <v>-5.7999999999999996E-3</v>
      </c>
      <c r="W95" s="10">
        <v>9.7999999999999997E-3</v>
      </c>
      <c r="X95" s="10">
        <v>-5.7902807281744538E-2</v>
      </c>
      <c r="Y95" s="10">
        <v>1E-4</v>
      </c>
      <c r="Z95" s="10">
        <v>-3.15E-2</v>
      </c>
      <c r="AA95" s="10">
        <v>3.4200000000000001E-2</v>
      </c>
      <c r="AB95" s="10">
        <v>2.429571885053877</v>
      </c>
      <c r="AC95" s="10">
        <v>2.4418000000000002</v>
      </c>
      <c r="AD95" s="10">
        <v>-2.3099999999999999E-2</v>
      </c>
      <c r="AE95" s="10">
        <v>2.3599999999999999E-2</v>
      </c>
      <c r="AF95" s="10">
        <v>200.6368867980791</v>
      </c>
      <c r="AG95" s="10">
        <v>169.40549999999999</v>
      </c>
      <c r="AH95" s="10">
        <v>-8.9591999999999992</v>
      </c>
      <c r="AI95" s="10">
        <v>8.7681000000000004</v>
      </c>
      <c r="AJ95" s="10">
        <v>0.73345163868861718</v>
      </c>
      <c r="AK95" s="10">
        <v>0.65429999999999999</v>
      </c>
      <c r="AL95" s="10">
        <v>-4.4600000000000001E-2</v>
      </c>
      <c r="AM95" s="10">
        <v>4.2500000000000003E-2</v>
      </c>
      <c r="AN95" s="10">
        <v>0.7278199742604321</v>
      </c>
      <c r="AO95" s="10">
        <v>0.7661</v>
      </c>
      <c r="AP95" s="10">
        <v>-2.3900000000000001E-2</v>
      </c>
      <c r="AQ95" s="10">
        <v>2.7300000000000001E-2</v>
      </c>
      <c r="AR95" s="10">
        <v>4.6537718696966497</v>
      </c>
      <c r="AS95" s="10">
        <v>4.6532</v>
      </c>
      <c r="AT95" s="10">
        <v>-4.5999999999999999E-3</v>
      </c>
      <c r="AU95" s="10">
        <v>4.5999999999999999E-3</v>
      </c>
      <c r="AV95" s="10">
        <v>0.1219792690340871</v>
      </c>
      <c r="AW95" s="10">
        <v>0.12239999999999999</v>
      </c>
      <c r="AX95" s="10">
        <v>-8.3999999999999995E-3</v>
      </c>
      <c r="AY95" s="10">
        <v>8.2000000000000007E-3</v>
      </c>
      <c r="AZ95" s="10">
        <v>5.3543052324622753E-3</v>
      </c>
      <c r="BA95" s="10">
        <v>8.0999999999999996E-3</v>
      </c>
      <c r="BB95" s="10">
        <v>-6.0000000000000001E-3</v>
      </c>
      <c r="BC95" s="10">
        <v>6.4000000000000003E-3</v>
      </c>
      <c r="BD95" s="10">
        <v>0.16981673821336021</v>
      </c>
      <c r="BE95" s="10">
        <v>0.1217</v>
      </c>
      <c r="BF95" s="10">
        <v>-3.8800000000000001E-2</v>
      </c>
      <c r="BG95" s="10">
        <v>4.6800000000000001E-2</v>
      </c>
      <c r="BH95" s="13">
        <v>950.12744140625</v>
      </c>
      <c r="BI95" s="11">
        <v>2.235593979779412</v>
      </c>
      <c r="BJ95" s="13">
        <v>3462.7177392800099</v>
      </c>
      <c r="BK95" s="11">
        <v>0.9882185328995462</v>
      </c>
      <c r="BL95" s="13">
        <v>4412.8451806862586</v>
      </c>
      <c r="BM95" s="11">
        <v>1.611906256339479</v>
      </c>
    </row>
    <row r="96" spans="1:65" ht="27" customHeight="1">
      <c r="A96" s="4">
        <v>94</v>
      </c>
      <c r="B96" s="7" t="str">
        <f t="shared" si="2"/>
        <v/>
      </c>
      <c r="C96" s="8"/>
      <c r="D96" s="8" t="s">
        <v>97</v>
      </c>
      <c r="E96" s="5" t="s">
        <v>98</v>
      </c>
      <c r="H96" s="5" t="s">
        <v>98</v>
      </c>
      <c r="I96" s="4"/>
      <c r="K96" s="5" t="s">
        <v>98</v>
      </c>
      <c r="N96" s="6"/>
      <c r="P96">
        <v>41.985435000000003</v>
      </c>
      <c r="Q96">
        <v>-3.3937431999999998</v>
      </c>
    </row>
    <row r="97" spans="1:65" ht="27" customHeight="1">
      <c r="A97" s="4">
        <v>95</v>
      </c>
      <c r="B97" s="7">
        <f t="shared" si="2"/>
        <v>0.93983333333333319</v>
      </c>
      <c r="C97" s="8">
        <v>3</v>
      </c>
      <c r="D97" s="8" t="s">
        <v>74</v>
      </c>
      <c r="E97" s="5" t="s">
        <v>74</v>
      </c>
      <c r="F97" s="4">
        <v>0.9395</v>
      </c>
      <c r="G97" s="3" t="s">
        <v>90</v>
      </c>
      <c r="H97" s="5" t="s">
        <v>74</v>
      </c>
      <c r="I97" s="4">
        <v>0.94</v>
      </c>
      <c r="J97" s="3" t="s">
        <v>90</v>
      </c>
      <c r="K97" s="5" t="s">
        <v>74</v>
      </c>
      <c r="L97" s="4">
        <v>0.94</v>
      </c>
      <c r="M97" s="3" t="s">
        <v>90</v>
      </c>
      <c r="N97" s="6"/>
      <c r="P97">
        <v>42.002920000000003</v>
      </c>
      <c r="Q97">
        <v>-3.4046322999999998</v>
      </c>
      <c r="R97">
        <v>9.2569999999999997</v>
      </c>
      <c r="S97">
        <v>5.3999999999999999E-2</v>
      </c>
      <c r="T97" s="10">
        <v>9.9657478303037311E-2</v>
      </c>
      <c r="U97" s="10">
        <v>8.6199999999999999E-2</v>
      </c>
      <c r="V97" s="10">
        <v>-3.8600000000000002E-2</v>
      </c>
      <c r="W97" s="10">
        <v>2.9100000000000001E-2</v>
      </c>
      <c r="X97" s="10">
        <v>1.069558879882943E-2</v>
      </c>
      <c r="Y97" s="10">
        <v>-3.6999999999999998E-2</v>
      </c>
      <c r="Z97" s="10">
        <v>-7.2499999999999995E-2</v>
      </c>
      <c r="AA97" s="10">
        <v>6.0999999999999999E-2</v>
      </c>
      <c r="AB97" s="10">
        <v>-2.6106184344498859</v>
      </c>
      <c r="AC97" s="10">
        <v>-2.5912000000000002</v>
      </c>
      <c r="AD97" s="10">
        <v>-5.5599999999999997E-2</v>
      </c>
      <c r="AE97" s="10">
        <v>5.2600000000000001E-2</v>
      </c>
      <c r="AF97" s="10">
        <v>84.272349730707816</v>
      </c>
      <c r="AG97" s="10">
        <v>87.024100000000004</v>
      </c>
      <c r="AH97" s="10">
        <v>-10.001300000000001</v>
      </c>
      <c r="AI97" s="10">
        <v>10.9306</v>
      </c>
      <c r="AJ97" s="10">
        <v>0.77746856228498329</v>
      </c>
      <c r="AK97" s="10">
        <v>0.69830000000000003</v>
      </c>
      <c r="AL97" s="10">
        <v>-0.1065</v>
      </c>
      <c r="AM97" s="10">
        <v>0.1028</v>
      </c>
      <c r="AN97" s="10">
        <v>0.59808653270704726</v>
      </c>
      <c r="AO97" s="10">
        <v>0.62939999999999996</v>
      </c>
      <c r="AP97" s="10">
        <v>-4.0399999999999998E-2</v>
      </c>
      <c r="AQ97" s="10">
        <v>5.28E-2</v>
      </c>
      <c r="AR97" s="10">
        <v>4.4137576744357361</v>
      </c>
      <c r="AS97" s="10">
        <v>4.4107000000000003</v>
      </c>
      <c r="AT97" s="10">
        <v>-5.7999999999999996E-3</v>
      </c>
      <c r="AU97" s="10">
        <v>5.7999999999999996E-3</v>
      </c>
      <c r="AV97" s="10">
        <v>-0.16104394249334281</v>
      </c>
      <c r="AW97" s="10">
        <v>-0.15920000000000001</v>
      </c>
      <c r="AX97" s="10">
        <v>-2.5000000000000001E-2</v>
      </c>
      <c r="AY97" s="10">
        <v>2.53E-2</v>
      </c>
      <c r="AZ97" s="10">
        <v>0.33814745597708068</v>
      </c>
      <c r="BA97" s="10">
        <v>0.31259999999999999</v>
      </c>
      <c r="BB97" s="10">
        <v>-4.65E-2</v>
      </c>
      <c r="BC97" s="10">
        <v>4.7E-2</v>
      </c>
      <c r="BD97" s="10">
        <v>0.18880354524471579</v>
      </c>
      <c r="BE97" s="10">
        <v>0.37530000000000002</v>
      </c>
      <c r="BF97" s="10">
        <v>-0.16439999999999999</v>
      </c>
      <c r="BG97" s="10">
        <v>0.19639999999999999</v>
      </c>
      <c r="BH97" s="13">
        <v>979.1226806640625</v>
      </c>
      <c r="BI97" s="11">
        <v>2.3038180721507349</v>
      </c>
      <c r="BJ97" s="13">
        <v>2270.859961660472</v>
      </c>
      <c r="BK97" s="11">
        <v>1.2961529461532371</v>
      </c>
      <c r="BL97" s="13">
        <v>3249.982642324534</v>
      </c>
      <c r="BM97" s="11">
        <v>1.7999855091519861</v>
      </c>
    </row>
    <row r="98" spans="1:65" ht="27" customHeight="1">
      <c r="A98" s="4">
        <v>96</v>
      </c>
      <c r="B98" s="7">
        <f t="shared" si="2"/>
        <v>0.4955</v>
      </c>
      <c r="C98" s="8">
        <v>3</v>
      </c>
      <c r="D98" s="8" t="s">
        <v>74</v>
      </c>
      <c r="E98" s="5" t="s">
        <v>74</v>
      </c>
      <c r="F98" s="4">
        <v>0.495</v>
      </c>
      <c r="G98" s="3" t="s">
        <v>77</v>
      </c>
      <c r="H98" s="5" t="s">
        <v>74</v>
      </c>
      <c r="I98" s="4">
        <v>0.496</v>
      </c>
      <c r="J98" s="3" t="s">
        <v>77</v>
      </c>
      <c r="K98" s="5" t="s">
        <v>71</v>
      </c>
      <c r="N98" s="6"/>
      <c r="P98">
        <v>42.023170999999998</v>
      </c>
      <c r="Q98">
        <v>-3.4192699000000002</v>
      </c>
      <c r="R98">
        <v>9.4429999999999996</v>
      </c>
      <c r="S98">
        <v>6.4000000000000001E-2</v>
      </c>
      <c r="T98" s="10">
        <v>-7.0267210537397179E-2</v>
      </c>
      <c r="U98" s="10">
        <v>-7.6899999999999996E-2</v>
      </c>
      <c r="V98" s="10">
        <v>-9.4000000000000004E-3</v>
      </c>
      <c r="W98" s="10">
        <v>9.1999999999999998E-3</v>
      </c>
      <c r="X98" s="10">
        <v>6.7007352609430859E-3</v>
      </c>
      <c r="Y98" s="10">
        <v>1.77E-2</v>
      </c>
      <c r="Z98" s="10">
        <v>-1.7899999999999999E-2</v>
      </c>
      <c r="AA98" s="10">
        <v>2.2200000000000001E-2</v>
      </c>
      <c r="AB98" s="10">
        <v>-0.79361541307598982</v>
      </c>
      <c r="AC98" s="10">
        <v>-0.77380000000000004</v>
      </c>
      <c r="AD98" s="10">
        <v>-4.6800000000000001E-2</v>
      </c>
      <c r="AE98" s="10">
        <v>4.9700000000000001E-2</v>
      </c>
      <c r="AF98" s="10">
        <v>117.864083818143</v>
      </c>
      <c r="AG98" s="10">
        <v>102.77849999999999</v>
      </c>
      <c r="AH98" s="10">
        <v>-11.2341</v>
      </c>
      <c r="AI98" s="10">
        <v>13.529400000000001</v>
      </c>
      <c r="AJ98" s="10">
        <v>0.90618683109899711</v>
      </c>
      <c r="AK98" s="10">
        <v>0.87490000000000001</v>
      </c>
      <c r="AL98" s="10">
        <v>-3.85E-2</v>
      </c>
      <c r="AM98" s="10">
        <v>3.0099999999999998E-2</v>
      </c>
      <c r="AN98" s="10">
        <v>0.3121739565416925</v>
      </c>
      <c r="AO98" s="10">
        <v>0.3175</v>
      </c>
      <c r="AP98" s="10">
        <v>-6.0000000000000001E-3</v>
      </c>
      <c r="AQ98" s="10">
        <v>7.1999999999999998E-3</v>
      </c>
      <c r="AR98" s="10">
        <v>4.7803712844454154</v>
      </c>
      <c r="AS98" s="10">
        <v>4.7797000000000001</v>
      </c>
      <c r="AT98" s="10">
        <v>-2.3999999999999998E-3</v>
      </c>
      <c r="AU98" s="10">
        <v>2.3999999999999998E-3</v>
      </c>
      <c r="AV98" s="10">
        <v>-0.37124811085672382</v>
      </c>
      <c r="AW98" s="10">
        <v>-0.37219999999999998</v>
      </c>
      <c r="AX98" s="10">
        <v>-9.2999999999999992E-3</v>
      </c>
      <c r="AY98" s="10">
        <v>9.4000000000000004E-3</v>
      </c>
      <c r="AZ98" s="10">
        <v>9.8041421682188323E-2</v>
      </c>
      <c r="BA98" s="10">
        <v>8.7900000000000006E-2</v>
      </c>
      <c r="BB98" s="10">
        <v>-1.7399999999999999E-2</v>
      </c>
      <c r="BC98" s="10">
        <v>1.7000000000000001E-2</v>
      </c>
      <c r="BD98" s="10">
        <v>1.542667012951067E-2</v>
      </c>
      <c r="BE98" s="10">
        <v>2.47E-2</v>
      </c>
      <c r="BF98" s="10">
        <v>-1.11E-2</v>
      </c>
      <c r="BG98" s="10">
        <v>2.07E-2</v>
      </c>
      <c r="BH98" s="13">
        <v>1645.506103515625</v>
      </c>
      <c r="BI98" s="11">
        <v>3.8717790670955878</v>
      </c>
      <c r="BJ98" s="13">
        <v>5223.4401174361656</v>
      </c>
      <c r="BK98" s="11">
        <v>1.490707796071965</v>
      </c>
      <c r="BL98" s="13">
        <v>6868.9462209517906</v>
      </c>
      <c r="BM98" s="11">
        <v>2.681243431583777</v>
      </c>
    </row>
    <row r="99" spans="1:65" ht="27" customHeight="1">
      <c r="A99" s="4">
        <v>97</v>
      </c>
      <c r="B99" s="7">
        <f t="shared" ref="B99:B130" si="3">IFERROR(AVERAGE(F99,L99,I99),"")</f>
        <v>0.59533333333333338</v>
      </c>
      <c r="C99" s="8">
        <v>3</v>
      </c>
      <c r="D99" s="8" t="s">
        <v>79</v>
      </c>
      <c r="E99" s="5" t="s">
        <v>76</v>
      </c>
      <c r="F99" s="4">
        <v>0.59450000000000003</v>
      </c>
      <c r="G99" s="3" t="s">
        <v>80</v>
      </c>
      <c r="H99" s="5" t="s">
        <v>76</v>
      </c>
      <c r="I99" s="4">
        <v>0.59599999999999997</v>
      </c>
      <c r="J99" s="3" t="s">
        <v>92</v>
      </c>
      <c r="K99" s="5" t="s">
        <v>76</v>
      </c>
      <c r="L99" s="4">
        <v>0.59550000000000003</v>
      </c>
      <c r="M99" s="3" t="s">
        <v>80</v>
      </c>
      <c r="N99" s="6" t="s">
        <v>105</v>
      </c>
      <c r="P99">
        <v>41.966123000000003</v>
      </c>
      <c r="Q99">
        <v>-3.3964544000000001</v>
      </c>
      <c r="R99">
        <v>9.6120000000000001</v>
      </c>
      <c r="S99">
        <v>4.5999999999999999E-2</v>
      </c>
      <c r="T99" s="10">
        <v>-5.8573082361549143E-2</v>
      </c>
      <c r="U99" s="10">
        <v>-1.0200000000000001E-2</v>
      </c>
      <c r="V99" s="10">
        <v>-2.23E-2</v>
      </c>
      <c r="W99" s="10">
        <v>2.12E-2</v>
      </c>
      <c r="X99" s="10">
        <v>-3.2189959870987543E-2</v>
      </c>
      <c r="Y99" s="10">
        <v>-2.4500000000000001E-2</v>
      </c>
      <c r="Z99" s="10">
        <v>-7.7000000000000002E-3</v>
      </c>
      <c r="AA99" s="10">
        <v>7.6E-3</v>
      </c>
      <c r="AB99" s="10">
        <v>2.7406498670522691E-2</v>
      </c>
      <c r="AC99" s="10">
        <v>6.7000000000000002E-3</v>
      </c>
      <c r="AD99" s="10">
        <v>-3.4200000000000001E-2</v>
      </c>
      <c r="AE99" s="10">
        <v>3.4200000000000001E-2</v>
      </c>
      <c r="AF99" s="10">
        <v>87.615597489462147</v>
      </c>
      <c r="AG99" s="10">
        <v>106.7924</v>
      </c>
      <c r="AH99" s="10">
        <v>-8.7629999999999999</v>
      </c>
      <c r="AI99" s="10">
        <v>9.4669000000000008</v>
      </c>
      <c r="AJ99" s="10">
        <v>0.73269208676328901</v>
      </c>
      <c r="AK99" s="10">
        <v>0.81820000000000004</v>
      </c>
      <c r="AL99" s="10">
        <v>-3.6499999999999998E-2</v>
      </c>
      <c r="AM99" s="10">
        <v>3.5200000000000002E-2</v>
      </c>
      <c r="AN99" s="10">
        <v>0.60730294524320139</v>
      </c>
      <c r="AO99" s="10">
        <v>0.57499999999999996</v>
      </c>
      <c r="AP99" s="10">
        <v>-1.23E-2</v>
      </c>
      <c r="AQ99" s="10">
        <v>1.2999999999999999E-2</v>
      </c>
      <c r="AR99" s="10">
        <v>4.8604879555092824</v>
      </c>
      <c r="AS99" s="10">
        <v>4.8600000000000003</v>
      </c>
      <c r="AT99" s="10">
        <v>-1.8E-3</v>
      </c>
      <c r="AU99" s="10">
        <v>1.8E-3</v>
      </c>
      <c r="AV99" s="10">
        <v>-0.1572606273125117</v>
      </c>
      <c r="AW99" s="10">
        <v>-0.1633</v>
      </c>
      <c r="AX99" s="10">
        <v>-1.4800000000000001E-2</v>
      </c>
      <c r="AY99" s="10">
        <v>1.49E-2</v>
      </c>
      <c r="AZ99" s="10">
        <v>-0.31705799967601062</v>
      </c>
      <c r="BA99" s="10">
        <v>-0.3483</v>
      </c>
      <c r="BB99" s="10">
        <v>-1.61E-2</v>
      </c>
      <c r="BC99" s="10">
        <v>1.6500000000000001E-2</v>
      </c>
      <c r="BD99" s="10">
        <v>1.35470997491621E-2</v>
      </c>
      <c r="BE99" s="10">
        <v>3.0499999999999999E-2</v>
      </c>
      <c r="BF99" s="10">
        <v>-1.46E-2</v>
      </c>
      <c r="BG99" s="10">
        <v>2.2800000000000001E-2</v>
      </c>
      <c r="BH99" s="13">
        <v>627.7601318359375</v>
      </c>
      <c r="BI99" s="11">
        <v>1.477082663143382</v>
      </c>
      <c r="BJ99" s="13">
        <v>2497.1096087482788</v>
      </c>
      <c r="BK99" s="11">
        <v>0.71264543628660926</v>
      </c>
      <c r="BL99" s="13">
        <v>3124.8697405842158</v>
      </c>
      <c r="BM99" s="11">
        <v>1.094864049714996</v>
      </c>
    </row>
    <row r="100" spans="1:65" ht="27" customHeight="1">
      <c r="A100" s="4">
        <v>98</v>
      </c>
      <c r="B100" s="7">
        <f t="shared" si="3"/>
        <v>0.65850000000000009</v>
      </c>
      <c r="C100" s="8">
        <v>3</v>
      </c>
      <c r="D100" s="8" t="s">
        <v>79</v>
      </c>
      <c r="E100" s="5" t="s">
        <v>76</v>
      </c>
      <c r="F100" s="4">
        <v>0.65900000000000003</v>
      </c>
      <c r="G100" s="3" t="s">
        <v>80</v>
      </c>
      <c r="H100" s="5" t="s">
        <v>76</v>
      </c>
      <c r="I100" s="4">
        <v>0.65800000000000003</v>
      </c>
      <c r="J100" s="3" t="s">
        <v>92</v>
      </c>
      <c r="K100" s="5" t="s">
        <v>73</v>
      </c>
      <c r="N100" s="6" t="s">
        <v>106</v>
      </c>
      <c r="P100">
        <v>42.030413000000003</v>
      </c>
      <c r="Q100">
        <v>-3.4348396999999999</v>
      </c>
      <c r="R100">
        <v>9.8889999999999993</v>
      </c>
      <c r="S100">
        <v>5.6000000000000001E-2</v>
      </c>
      <c r="T100" s="10">
        <v>-0.14023907802439489</v>
      </c>
      <c r="U100" s="10">
        <v>-0.1108</v>
      </c>
      <c r="V100" s="10">
        <v>-2.7400000000000001E-2</v>
      </c>
      <c r="W100" s="10">
        <v>3.9899999999999998E-2</v>
      </c>
      <c r="X100" s="10">
        <v>6.6262855822734057E-3</v>
      </c>
      <c r="Y100" s="10">
        <v>-7.1999999999999998E-3</v>
      </c>
      <c r="Z100" s="10">
        <v>-5.8000000000000003E-2</v>
      </c>
      <c r="AA100" s="10">
        <v>6.5500000000000003E-2</v>
      </c>
      <c r="AB100" s="10">
        <v>2.7145850786661412</v>
      </c>
      <c r="AC100" s="10">
        <v>2.6926999999999999</v>
      </c>
      <c r="AD100" s="10">
        <v>-0.05</v>
      </c>
      <c r="AE100" s="10">
        <v>5.1799999999999999E-2</v>
      </c>
      <c r="AF100" s="10">
        <v>193.33189504823551</v>
      </c>
      <c r="AG100" s="10">
        <v>176.66390000000001</v>
      </c>
      <c r="AH100" s="10">
        <v>-11.752599999999999</v>
      </c>
      <c r="AI100" s="10">
        <v>13.3979</v>
      </c>
      <c r="AJ100" s="10">
        <v>0.42249885905154932</v>
      </c>
      <c r="AK100" s="10">
        <v>0.45390000000000003</v>
      </c>
      <c r="AL100" s="10">
        <v>-5.5899999999999998E-2</v>
      </c>
      <c r="AM100" s="10">
        <v>6.4500000000000002E-2</v>
      </c>
      <c r="AN100" s="10">
        <v>1.0245300757446421</v>
      </c>
      <c r="AO100" s="10">
        <v>0.99380000000000002</v>
      </c>
      <c r="AP100" s="10">
        <v>-5.9299999999999999E-2</v>
      </c>
      <c r="AQ100" s="10">
        <v>5.9900000000000002E-2</v>
      </c>
      <c r="AR100" s="10">
        <v>4.7379088722329197</v>
      </c>
      <c r="AS100" s="10">
        <v>4.7371999999999996</v>
      </c>
      <c r="AT100" s="10">
        <v>-3.8999999999999998E-3</v>
      </c>
      <c r="AU100" s="10">
        <v>3.8999999999999998E-3</v>
      </c>
      <c r="AV100" s="10">
        <v>0.1238505985741418</v>
      </c>
      <c r="AW100" s="10">
        <v>0.13250000000000001</v>
      </c>
      <c r="AX100" s="10">
        <v>-1.7299999999999999E-2</v>
      </c>
      <c r="AY100" s="10">
        <v>1.67E-2</v>
      </c>
      <c r="AZ100" s="10">
        <v>0.15618547309294659</v>
      </c>
      <c r="BA100" s="10">
        <v>0.16689999999999999</v>
      </c>
      <c r="BB100" s="10">
        <v>-2.0299999999999999E-2</v>
      </c>
      <c r="BC100" s="10">
        <v>2.29E-2</v>
      </c>
      <c r="BD100" s="10">
        <v>0.28741798147142922</v>
      </c>
      <c r="BE100" s="10">
        <v>0.14449999999999999</v>
      </c>
      <c r="BF100" s="10">
        <v>-7.4700000000000003E-2</v>
      </c>
      <c r="BG100" s="10">
        <v>8.9800000000000005E-2</v>
      </c>
      <c r="BH100" s="13">
        <v>542.417724609375</v>
      </c>
      <c r="BI100" s="11">
        <v>1.276276999080882</v>
      </c>
      <c r="BJ100" s="13">
        <v>2307.1032296931212</v>
      </c>
      <c r="BK100" s="11">
        <v>0.65841987148776282</v>
      </c>
      <c r="BL100" s="13">
        <v>2849.5209543024962</v>
      </c>
      <c r="BM100" s="11">
        <v>0.96734843528432268</v>
      </c>
    </row>
    <row r="101" spans="1:65" ht="27" customHeight="1">
      <c r="A101" s="4">
        <v>99</v>
      </c>
      <c r="B101" s="7">
        <f t="shared" si="3"/>
        <v>0.61199999999999999</v>
      </c>
      <c r="C101" s="8">
        <v>3</v>
      </c>
      <c r="D101" s="8" t="s">
        <v>93</v>
      </c>
      <c r="E101" s="5" t="s">
        <v>71</v>
      </c>
      <c r="H101" s="5" t="s">
        <v>74</v>
      </c>
      <c r="I101" s="4">
        <v>0.61199999999999999</v>
      </c>
      <c r="J101" s="3" t="s">
        <v>80</v>
      </c>
      <c r="K101" s="5" t="s">
        <v>71</v>
      </c>
      <c r="N101" s="6"/>
      <c r="P101">
        <v>42.006906000000001</v>
      </c>
      <c r="Q101">
        <v>-3.4284460999999999</v>
      </c>
      <c r="R101">
        <v>9.6519999999999992</v>
      </c>
      <c r="S101">
        <v>4.4999999999999998E-2</v>
      </c>
      <c r="T101" s="10">
        <v>-0.14976228102987749</v>
      </c>
      <c r="U101" s="10">
        <v>-0.14660000000000001</v>
      </c>
      <c r="V101" s="10">
        <v>-2.5000000000000001E-3</v>
      </c>
      <c r="W101" s="10">
        <v>5.8999999999999999E-3</v>
      </c>
      <c r="X101" s="10">
        <v>0.1224227952541186</v>
      </c>
      <c r="Y101" s="10">
        <v>0.1167</v>
      </c>
      <c r="Z101" s="10">
        <v>-4.4999999999999998E-2</v>
      </c>
      <c r="AA101" s="10">
        <v>2.3699999999999999E-2</v>
      </c>
      <c r="AB101" s="10">
        <v>-0.83491332422761388</v>
      </c>
      <c r="AC101" s="10">
        <v>-0.85050000000000003</v>
      </c>
      <c r="AD101" s="10">
        <v>-2.53E-2</v>
      </c>
      <c r="AE101" s="10">
        <v>1.9099999999999999E-2</v>
      </c>
      <c r="AF101" s="10">
        <v>105.2056904809635</v>
      </c>
      <c r="AG101" s="10">
        <v>110.1481</v>
      </c>
      <c r="AH101" s="10">
        <v>-13.545500000000001</v>
      </c>
      <c r="AI101" s="10">
        <v>15.610300000000001</v>
      </c>
      <c r="AJ101" s="10">
        <v>0.57842242592973359</v>
      </c>
      <c r="AK101" s="10">
        <v>0.59009999999999996</v>
      </c>
      <c r="AL101" s="10">
        <v>-3.1300000000000001E-2</v>
      </c>
      <c r="AM101" s="10">
        <v>5.8400000000000001E-2</v>
      </c>
      <c r="AN101" s="10">
        <v>0.51519926997732901</v>
      </c>
      <c r="AO101" s="10">
        <v>0.51190000000000002</v>
      </c>
      <c r="AP101" s="10">
        <v>-2.2599999999999999E-2</v>
      </c>
      <c r="AQ101" s="10">
        <v>1.3599999999999999E-2</v>
      </c>
      <c r="AR101" s="10">
        <v>4.6064099268767356</v>
      </c>
      <c r="AS101" s="10">
        <v>4.6073000000000004</v>
      </c>
      <c r="AT101" s="10">
        <v>-3.3E-3</v>
      </c>
      <c r="AU101" s="10">
        <v>3.3E-3</v>
      </c>
      <c r="AV101" s="10">
        <v>-0.55807329030499275</v>
      </c>
      <c r="AW101" s="10">
        <v>-0.55640000000000001</v>
      </c>
      <c r="AX101" s="10">
        <v>-1.0500000000000001E-2</v>
      </c>
      <c r="AY101" s="10">
        <v>1.0500000000000001E-2</v>
      </c>
      <c r="AZ101" s="10">
        <v>3.5291213353503707E-2</v>
      </c>
      <c r="BA101" s="10">
        <v>4.4400000000000002E-2</v>
      </c>
      <c r="BB101" s="10">
        <v>-1.11E-2</v>
      </c>
      <c r="BC101" s="10">
        <v>1.2500000000000001E-2</v>
      </c>
      <c r="BD101" s="10">
        <v>0.1517882079878389</v>
      </c>
      <c r="BE101" s="10">
        <v>0.20849999999999999</v>
      </c>
      <c r="BF101" s="10">
        <v>-8.2500000000000004E-2</v>
      </c>
      <c r="BG101" s="10">
        <v>0.13400000000000001</v>
      </c>
      <c r="BH101" s="13">
        <v>821.67645263671875</v>
      </c>
      <c r="BI101" s="11">
        <v>1.933356359145221</v>
      </c>
      <c r="BJ101" s="13">
        <v>2251.450724620237</v>
      </c>
      <c r="BK101" s="11">
        <v>0.64253730725463354</v>
      </c>
      <c r="BL101" s="13">
        <v>3073.1271772569548</v>
      </c>
      <c r="BM101" s="11">
        <v>1.2879468331999271</v>
      </c>
    </row>
    <row r="102" spans="1:65" ht="27" customHeight="1">
      <c r="A102" s="4">
        <v>100</v>
      </c>
      <c r="B102" s="7">
        <f t="shared" si="3"/>
        <v>0.76349999999999996</v>
      </c>
      <c r="C102" s="8">
        <v>3</v>
      </c>
      <c r="D102" s="8" t="s">
        <v>74</v>
      </c>
      <c r="E102" s="5" t="s">
        <v>74</v>
      </c>
      <c r="F102" s="4">
        <v>0.76349999999999996</v>
      </c>
      <c r="G102" s="3" t="s">
        <v>92</v>
      </c>
      <c r="H102" s="5" t="s">
        <v>74</v>
      </c>
      <c r="I102" s="4">
        <v>0.76400000000000001</v>
      </c>
      <c r="J102" s="3" t="s">
        <v>80</v>
      </c>
      <c r="K102" s="5" t="s">
        <v>76</v>
      </c>
      <c r="L102" s="4">
        <v>0.76300000000000001</v>
      </c>
      <c r="M102" s="3" t="s">
        <v>92</v>
      </c>
      <c r="N102" s="6"/>
      <c r="P102">
        <v>42.020952000000001</v>
      </c>
      <c r="Q102">
        <v>-3.4394502</v>
      </c>
      <c r="R102">
        <v>9.9830000000000005</v>
      </c>
      <c r="S102">
        <v>7.0999999999999994E-2</v>
      </c>
      <c r="T102" s="10">
        <v>-2.5844991686423319E-2</v>
      </c>
      <c r="U102" s="10">
        <v>-2.9899999999999999E-2</v>
      </c>
      <c r="V102" s="10">
        <v>-0.02</v>
      </c>
      <c r="W102" s="10">
        <v>2.06E-2</v>
      </c>
      <c r="X102" s="10">
        <v>0.1467664642191186</v>
      </c>
      <c r="Y102" s="10">
        <v>0.14280000000000001</v>
      </c>
      <c r="Z102" s="10">
        <v>-1.29E-2</v>
      </c>
      <c r="AA102" s="10">
        <v>5.4000000000000003E-3</v>
      </c>
      <c r="AB102" s="10">
        <v>2.3080805297567881</v>
      </c>
      <c r="AC102" s="10">
        <v>2.3184</v>
      </c>
      <c r="AD102" s="10">
        <v>-4.2099999999999999E-2</v>
      </c>
      <c r="AE102" s="10">
        <v>4.1300000000000003E-2</v>
      </c>
      <c r="AF102" s="10">
        <v>119.1658916219143</v>
      </c>
      <c r="AG102" s="10">
        <v>128.62950000000001</v>
      </c>
      <c r="AH102" s="10">
        <v>-8.2574000000000005</v>
      </c>
      <c r="AI102" s="10">
        <v>8.5411000000000001</v>
      </c>
      <c r="AJ102" s="10">
        <v>0.59770630481084774</v>
      </c>
      <c r="AK102" s="10">
        <v>0.60309999999999997</v>
      </c>
      <c r="AL102" s="10">
        <v>-1.2699999999999999E-2</v>
      </c>
      <c r="AM102" s="10">
        <v>1.6400000000000001E-2</v>
      </c>
      <c r="AN102" s="10">
        <v>0.84133073654026558</v>
      </c>
      <c r="AO102" s="10">
        <v>0.83509999999999995</v>
      </c>
      <c r="AP102" s="10">
        <v>-1.1599999999999999E-2</v>
      </c>
      <c r="AQ102" s="10">
        <v>1.04E-2</v>
      </c>
      <c r="AR102" s="10">
        <v>4.8470757631749626</v>
      </c>
      <c r="AS102" s="10">
        <v>4.8464</v>
      </c>
      <c r="AT102" s="10">
        <v>-3.0000000000000001E-3</v>
      </c>
      <c r="AU102" s="10">
        <v>3.0000000000000001E-3</v>
      </c>
      <c r="AV102" s="10">
        <v>0.31726866045028662</v>
      </c>
      <c r="AW102" s="10">
        <v>0.31530000000000002</v>
      </c>
      <c r="AX102" s="10">
        <v>-8.5000000000000006E-3</v>
      </c>
      <c r="AY102" s="10">
        <v>8.8000000000000005E-3</v>
      </c>
      <c r="AZ102" s="10">
        <v>7.452046192116546E-2</v>
      </c>
      <c r="BA102" s="10">
        <v>8.2000000000000003E-2</v>
      </c>
      <c r="BB102" s="10">
        <v>-9.5999999999999992E-3</v>
      </c>
      <c r="BC102" s="10">
        <v>9.1999999999999998E-3</v>
      </c>
      <c r="BD102" s="10">
        <v>0.137357349776286</v>
      </c>
      <c r="BE102" s="10">
        <v>0.1671</v>
      </c>
      <c r="BF102" s="10">
        <v>-3.6600000000000001E-2</v>
      </c>
      <c r="BG102" s="10">
        <v>3.9E-2</v>
      </c>
      <c r="BH102" s="13">
        <v>1237.259643554688</v>
      </c>
      <c r="BI102" s="11">
        <v>2.9111991613051469</v>
      </c>
      <c r="BJ102" s="13">
        <v>3099.049848605755</v>
      </c>
      <c r="BK102" s="11">
        <v>0.88443203441945029</v>
      </c>
      <c r="BL102" s="13">
        <v>4336.3094921604416</v>
      </c>
      <c r="BM102" s="11">
        <v>1.897815597862299</v>
      </c>
    </row>
    <row r="103" spans="1:65" ht="27" customHeight="1">
      <c r="A103" s="4">
        <v>101</v>
      </c>
      <c r="B103" s="7">
        <f t="shared" si="3"/>
        <v>0.60399999999999998</v>
      </c>
      <c r="C103" s="8">
        <v>3</v>
      </c>
      <c r="D103" s="8" t="s">
        <v>79</v>
      </c>
      <c r="E103" s="5" t="s">
        <v>76</v>
      </c>
      <c r="F103" s="4">
        <v>0.60399999999999998</v>
      </c>
      <c r="G103" s="3" t="s">
        <v>80</v>
      </c>
      <c r="H103" s="5" t="s">
        <v>76</v>
      </c>
      <c r="I103" s="4">
        <v>0.60399999999999998</v>
      </c>
      <c r="J103" s="3" t="s">
        <v>80</v>
      </c>
      <c r="K103" s="5" t="s">
        <v>71</v>
      </c>
      <c r="N103" s="6"/>
      <c r="P103">
        <v>41.992792000000001</v>
      </c>
      <c r="Q103">
        <v>-3.4305083999999999</v>
      </c>
      <c r="R103">
        <v>9.64</v>
      </c>
      <c r="S103">
        <v>8.8999999999999996E-2</v>
      </c>
      <c r="T103" s="10">
        <v>-5.1849810700275436E-3</v>
      </c>
      <c r="U103" s="10">
        <v>-4.7600000000000003E-2</v>
      </c>
      <c r="V103" s="10">
        <v>-3.3300000000000003E-2</v>
      </c>
      <c r="W103" s="10">
        <v>3.0499999999999999E-2</v>
      </c>
      <c r="X103" s="10">
        <v>-7.5826361448281282E-2</v>
      </c>
      <c r="Y103" s="10">
        <v>-2.4199999999999999E-2</v>
      </c>
      <c r="Z103" s="10">
        <v>-3.6400000000000002E-2</v>
      </c>
      <c r="AA103" s="10">
        <v>3.5999999999999997E-2</v>
      </c>
      <c r="AB103" s="10">
        <v>2.114988077105977</v>
      </c>
      <c r="AC103" s="10">
        <v>2.2033</v>
      </c>
      <c r="AD103" s="10">
        <v>-5.7799999999999997E-2</v>
      </c>
      <c r="AE103" s="10">
        <v>5.9700000000000003E-2</v>
      </c>
      <c r="AF103" s="10">
        <v>97.764325009628294</v>
      </c>
      <c r="AG103" s="10">
        <v>102.71469999999999</v>
      </c>
      <c r="AH103" s="10">
        <v>-6.5971000000000002</v>
      </c>
      <c r="AI103" s="10">
        <v>7.0015000000000001</v>
      </c>
      <c r="AJ103" s="10">
        <v>0.47524662946597029</v>
      </c>
      <c r="AK103" s="10">
        <v>0.44130000000000003</v>
      </c>
      <c r="AL103" s="10">
        <v>-2.9000000000000001E-2</v>
      </c>
      <c r="AM103" s="10">
        <v>2.8199999999999999E-2</v>
      </c>
      <c r="AN103" s="10">
        <v>0.59754352511310804</v>
      </c>
      <c r="AO103" s="10">
        <v>0.61809999999999998</v>
      </c>
      <c r="AP103" s="10">
        <v>-1.7999999999999999E-2</v>
      </c>
      <c r="AQ103" s="10">
        <v>1.8800000000000001E-2</v>
      </c>
      <c r="AR103" s="10">
        <v>4.60426827545405</v>
      </c>
      <c r="AS103" s="10">
        <v>4.6044</v>
      </c>
      <c r="AT103" s="10">
        <v>-2.2000000000000001E-3</v>
      </c>
      <c r="AU103" s="10">
        <v>2.3E-3</v>
      </c>
      <c r="AV103" s="10">
        <v>0.42484026191055713</v>
      </c>
      <c r="AW103" s="10">
        <v>0.40839999999999999</v>
      </c>
      <c r="AX103" s="10">
        <v>-1.1299999999999999E-2</v>
      </c>
      <c r="AY103" s="10">
        <v>1.06E-2</v>
      </c>
      <c r="AZ103" s="10">
        <v>0.1086851146860648</v>
      </c>
      <c r="BA103" s="10">
        <v>0.1101</v>
      </c>
      <c r="BB103" s="10">
        <v>-8.3000000000000001E-3</v>
      </c>
      <c r="BC103" s="10">
        <v>8.6E-3</v>
      </c>
      <c r="BD103" s="10">
        <v>1.627144579942455E-2</v>
      </c>
      <c r="BE103" s="10">
        <v>2.0799999999999999E-2</v>
      </c>
      <c r="BF103" s="10">
        <v>-7.4000000000000003E-3</v>
      </c>
      <c r="BG103" s="10">
        <v>1.0500000000000001E-2</v>
      </c>
      <c r="BH103" s="13">
        <v>749.14251708984375</v>
      </c>
      <c r="BI103" s="11">
        <v>1.7626882755055151</v>
      </c>
      <c r="BJ103" s="13">
        <v>2364.560392043094</v>
      </c>
      <c r="BK103" s="11">
        <v>0.67481746348261817</v>
      </c>
      <c r="BL103" s="13">
        <v>3113.7029091329382</v>
      </c>
      <c r="BM103" s="11">
        <v>1.2187528694940659</v>
      </c>
    </row>
    <row r="104" spans="1:65" ht="27" customHeight="1">
      <c r="A104" s="4">
        <v>102</v>
      </c>
      <c r="B104" s="7">
        <f t="shared" si="3"/>
        <v>0.46600000000000003</v>
      </c>
      <c r="C104" s="8">
        <v>3</v>
      </c>
      <c r="D104" s="8" t="s">
        <v>74</v>
      </c>
      <c r="E104" s="5" t="s">
        <v>76</v>
      </c>
      <c r="F104" s="4">
        <v>0.46600000000000003</v>
      </c>
      <c r="G104" s="3" t="s">
        <v>75</v>
      </c>
      <c r="H104" s="5" t="s">
        <v>74</v>
      </c>
      <c r="I104" s="4">
        <v>0.46600000000000003</v>
      </c>
      <c r="J104" s="3" t="s">
        <v>75</v>
      </c>
      <c r="K104" s="5" t="s">
        <v>71</v>
      </c>
      <c r="N104" s="6"/>
      <c r="P104">
        <v>41.967925000000001</v>
      </c>
      <c r="Q104">
        <v>-3.4258600000000001</v>
      </c>
      <c r="R104">
        <v>8.5220000000000002</v>
      </c>
      <c r="S104">
        <v>3.7999999999999999E-2</v>
      </c>
      <c r="T104" s="10">
        <v>5.6126117363343719E-3</v>
      </c>
      <c r="U104" s="10">
        <v>5.3900000000000003E-2</v>
      </c>
      <c r="V104" s="10">
        <v>-4.7100000000000003E-2</v>
      </c>
      <c r="W104" s="10">
        <v>5.28E-2</v>
      </c>
      <c r="X104" s="10">
        <v>-0.14394506551402139</v>
      </c>
      <c r="Y104" s="10">
        <v>-0.1084</v>
      </c>
      <c r="Z104" s="10">
        <v>-3.0499999999999999E-2</v>
      </c>
      <c r="AA104" s="10">
        <v>5.5399999999999998E-2</v>
      </c>
      <c r="AB104" s="10">
        <v>-1.9781574969659019</v>
      </c>
      <c r="AC104" s="10">
        <v>-1.6361000000000001</v>
      </c>
      <c r="AD104" s="10">
        <v>-0.19889999999999999</v>
      </c>
      <c r="AE104" s="10">
        <v>0.223</v>
      </c>
      <c r="AF104" s="10">
        <v>62.394534904290097</v>
      </c>
      <c r="AG104" s="10">
        <v>56.243499999999997</v>
      </c>
      <c r="AH104" s="10">
        <v>-6.7306999999999997</v>
      </c>
      <c r="AI104" s="10">
        <v>7.7530000000000001</v>
      </c>
      <c r="AJ104" s="10">
        <v>0.83518023788234808</v>
      </c>
      <c r="AK104" s="10">
        <v>0.76859999999999995</v>
      </c>
      <c r="AL104" s="10">
        <v>-7.6700000000000004E-2</v>
      </c>
      <c r="AM104" s="10">
        <v>6.6500000000000004E-2</v>
      </c>
      <c r="AN104" s="10">
        <v>0.200399858543857</v>
      </c>
      <c r="AO104" s="10">
        <v>0.20699999999999999</v>
      </c>
      <c r="AP104" s="10">
        <v>-5.1999999999999998E-3</v>
      </c>
      <c r="AQ104" s="10">
        <v>1.01E-2</v>
      </c>
      <c r="AR104" s="10">
        <v>4.29595667959022</v>
      </c>
      <c r="AS104" s="10">
        <v>4.2956000000000003</v>
      </c>
      <c r="AT104" s="10">
        <v>-4.4999999999999997E-3</v>
      </c>
      <c r="AU104" s="10">
        <v>4.5999999999999999E-3</v>
      </c>
      <c r="AV104" s="10">
        <v>-0.57204587776324023</v>
      </c>
      <c r="AW104" s="10">
        <v>-0.67710000000000004</v>
      </c>
      <c r="AX104" s="10">
        <v>-4.2200000000000001E-2</v>
      </c>
      <c r="AY104" s="10">
        <v>6.5600000000000006E-2</v>
      </c>
      <c r="AZ104" s="10">
        <v>0.36320344711213681</v>
      </c>
      <c r="BA104" s="10">
        <v>0.16170000000000001</v>
      </c>
      <c r="BB104" s="10">
        <v>-0.1221</v>
      </c>
      <c r="BC104" s="10">
        <v>0.1273</v>
      </c>
      <c r="BD104" s="10">
        <v>1.248034837965051</v>
      </c>
      <c r="BE104" s="10">
        <v>1.5467</v>
      </c>
      <c r="BF104" s="10">
        <v>-0.39589999999999997</v>
      </c>
      <c r="BG104" s="10">
        <v>0.3095</v>
      </c>
      <c r="BH104" s="13">
        <v>1054.814208984375</v>
      </c>
      <c r="BI104" s="11">
        <v>2.5054969334545718</v>
      </c>
      <c r="BJ104" s="13">
        <v>1345.5834675211379</v>
      </c>
      <c r="BK104" s="11">
        <v>0.39344545833951389</v>
      </c>
      <c r="BL104" s="13">
        <v>2400.3976765055131</v>
      </c>
      <c r="BM104" s="11">
        <v>1.449471195897043</v>
      </c>
    </row>
    <row r="105" spans="1:65" ht="27" customHeight="1">
      <c r="A105" s="4">
        <v>103</v>
      </c>
      <c r="B105" s="7" t="str">
        <f t="shared" si="3"/>
        <v/>
      </c>
      <c r="C105" s="8"/>
      <c r="D105" s="8" t="s">
        <v>72</v>
      </c>
      <c r="E105" s="5" t="s">
        <v>73</v>
      </c>
      <c r="H105" s="5" t="s">
        <v>73</v>
      </c>
      <c r="I105" s="4"/>
      <c r="K105" s="5" t="s">
        <v>73</v>
      </c>
      <c r="N105" s="6"/>
      <c r="P105">
        <v>41.972965000000002</v>
      </c>
      <c r="Q105">
        <v>-3.4321084000000002</v>
      </c>
    </row>
    <row r="106" spans="1:65" ht="27" customHeight="1">
      <c r="A106" s="4">
        <v>104</v>
      </c>
      <c r="B106" s="7" t="str">
        <f t="shared" si="3"/>
        <v/>
      </c>
      <c r="C106" s="8"/>
      <c r="D106" s="8" t="s">
        <v>83</v>
      </c>
      <c r="E106" s="5" t="s">
        <v>84</v>
      </c>
      <c r="H106" s="5" t="s">
        <v>84</v>
      </c>
      <c r="I106" s="4"/>
      <c r="K106" s="5" t="s">
        <v>84</v>
      </c>
      <c r="N106" s="6"/>
      <c r="P106">
        <v>41.961208999999997</v>
      </c>
      <c r="Q106">
        <v>-3.431136</v>
      </c>
    </row>
    <row r="107" spans="1:65" ht="27" customHeight="1">
      <c r="A107" s="4">
        <v>105</v>
      </c>
      <c r="B107" s="7">
        <f t="shared" si="3"/>
        <v>0.56699999999999995</v>
      </c>
      <c r="C107" s="8">
        <v>3</v>
      </c>
      <c r="D107" s="8" t="s">
        <v>74</v>
      </c>
      <c r="E107" s="5" t="s">
        <v>74</v>
      </c>
      <c r="F107" s="4">
        <v>0.56699999999999995</v>
      </c>
      <c r="G107" s="3" t="s">
        <v>75</v>
      </c>
      <c r="H107" s="5" t="s">
        <v>74</v>
      </c>
      <c r="I107" s="4">
        <v>0.56699999999999995</v>
      </c>
      <c r="J107" s="3" t="s">
        <v>75</v>
      </c>
      <c r="K107" s="5" t="s">
        <v>76</v>
      </c>
      <c r="L107" s="4">
        <v>0.56699999999999995</v>
      </c>
      <c r="M107" s="3" t="s">
        <v>89</v>
      </c>
      <c r="N107" s="6"/>
      <c r="P107">
        <v>41.956462999999999</v>
      </c>
      <c r="Q107">
        <v>-3.4322077000000002</v>
      </c>
      <c r="R107">
        <v>9.1980000000000004</v>
      </c>
      <c r="S107">
        <v>0.11899999999999999</v>
      </c>
      <c r="T107" s="10">
        <v>-8.424499331651028E-2</v>
      </c>
      <c r="U107" s="10">
        <v>-7.1800000000000003E-2</v>
      </c>
      <c r="V107" s="10">
        <v>-2.6200000000000001E-2</v>
      </c>
      <c r="W107" s="10">
        <v>2.5999999999999999E-2</v>
      </c>
      <c r="X107" s="10">
        <v>4.4594064050537729E-2</v>
      </c>
      <c r="Y107" s="10">
        <v>5.3999999999999999E-2</v>
      </c>
      <c r="Z107" s="10">
        <v>-2.9899999999999999E-2</v>
      </c>
      <c r="AA107" s="10">
        <v>2.9000000000000001E-2</v>
      </c>
      <c r="AB107" s="10">
        <v>-2.6375278624277909</v>
      </c>
      <c r="AC107" s="10">
        <v>-2.6261000000000001</v>
      </c>
      <c r="AD107" s="10">
        <v>-3.9800000000000002E-2</v>
      </c>
      <c r="AE107" s="10">
        <v>3.9100000000000003E-2</v>
      </c>
      <c r="AF107" s="10">
        <v>95.00098363668377</v>
      </c>
      <c r="AG107" s="10">
        <v>94.573400000000007</v>
      </c>
      <c r="AH107" s="10">
        <v>-4.274</v>
      </c>
      <c r="AI107" s="10">
        <v>4.7356999999999996</v>
      </c>
      <c r="AJ107" s="10">
        <v>0.48256517447496328</v>
      </c>
      <c r="AK107" s="10">
        <v>0.498</v>
      </c>
      <c r="AL107" s="10">
        <v>-3.3399999999999999E-2</v>
      </c>
      <c r="AM107" s="10">
        <v>3.4599999999999999E-2</v>
      </c>
      <c r="AN107" s="10">
        <v>0.7663410320681745</v>
      </c>
      <c r="AO107" s="10">
        <v>0.75600000000000001</v>
      </c>
      <c r="AP107" s="10">
        <v>-2.3300000000000001E-2</v>
      </c>
      <c r="AQ107" s="10">
        <v>2.3199999999999998E-2</v>
      </c>
      <c r="AR107" s="10">
        <v>4.510787149737312</v>
      </c>
      <c r="AS107" s="10">
        <v>4.5115999999999996</v>
      </c>
      <c r="AT107" s="10">
        <v>-2.7000000000000001E-3</v>
      </c>
      <c r="AU107" s="10">
        <v>2.7000000000000001E-3</v>
      </c>
      <c r="AV107" s="10">
        <v>-7.5375879073149354E-2</v>
      </c>
      <c r="AW107" s="10">
        <v>-8.3299999999999999E-2</v>
      </c>
      <c r="AX107" s="10">
        <v>-8.3999999999999995E-3</v>
      </c>
      <c r="AY107" s="10">
        <v>8.6999999999999994E-3</v>
      </c>
      <c r="AZ107" s="10">
        <v>9.5696606680470309E-2</v>
      </c>
      <c r="BA107" s="10">
        <v>9.8699999999999996E-2</v>
      </c>
      <c r="BB107" s="10">
        <v>-6.0000000000000001E-3</v>
      </c>
      <c r="BC107" s="10">
        <v>6.1999999999999998E-3</v>
      </c>
      <c r="BD107" s="10">
        <v>0.99583736706997061</v>
      </c>
      <c r="BE107" s="10">
        <v>0.99450000000000005</v>
      </c>
      <c r="BF107" s="10">
        <v>-0.14169999999999999</v>
      </c>
      <c r="BG107" s="10">
        <v>0.15090000000000001</v>
      </c>
      <c r="BH107" s="13">
        <v>818.9903564453125</v>
      </c>
      <c r="BI107" s="11">
        <v>1.945345264715707</v>
      </c>
      <c r="BJ107" s="13">
        <v>3089.9561651231002</v>
      </c>
      <c r="BK107" s="11">
        <v>0.59194562550250962</v>
      </c>
      <c r="BL107" s="13">
        <v>3908.9465215684131</v>
      </c>
      <c r="BM107" s="11">
        <v>1.268645445109108</v>
      </c>
    </row>
    <row r="108" spans="1:65" ht="27" customHeight="1">
      <c r="A108" s="4">
        <v>106</v>
      </c>
      <c r="B108" s="7">
        <f t="shared" si="3"/>
        <v>0.76316666666666666</v>
      </c>
      <c r="C108" s="8">
        <v>3</v>
      </c>
      <c r="D108" s="8" t="s">
        <v>79</v>
      </c>
      <c r="E108" s="5" t="s">
        <v>76</v>
      </c>
      <c r="F108" s="4">
        <v>0.76349999999999996</v>
      </c>
      <c r="G108" s="3" t="s">
        <v>80</v>
      </c>
      <c r="H108" s="5" t="s">
        <v>76</v>
      </c>
      <c r="I108" s="4">
        <v>0.76300000000000001</v>
      </c>
      <c r="J108" s="3" t="s">
        <v>80</v>
      </c>
      <c r="K108" s="5" t="s">
        <v>76</v>
      </c>
      <c r="L108" s="4">
        <v>0.76300000000000001</v>
      </c>
      <c r="M108" s="3" t="s">
        <v>78</v>
      </c>
      <c r="N108" s="6"/>
      <c r="P108">
        <v>41.972777000000001</v>
      </c>
      <c r="Q108">
        <v>-3.4457255999999998</v>
      </c>
    </row>
    <row r="109" spans="1:65" ht="27" customHeight="1">
      <c r="A109" s="4">
        <v>107</v>
      </c>
      <c r="B109" s="7">
        <f t="shared" si="3"/>
        <v>0.54349999999999998</v>
      </c>
      <c r="C109" s="8">
        <v>3</v>
      </c>
      <c r="D109" s="8" t="s">
        <v>74</v>
      </c>
      <c r="E109" s="5" t="s">
        <v>74</v>
      </c>
      <c r="F109" s="4">
        <v>0.54349999999999998</v>
      </c>
      <c r="G109" s="3" t="s">
        <v>80</v>
      </c>
      <c r="H109" s="5" t="s">
        <v>74</v>
      </c>
      <c r="I109" s="4">
        <v>0.54300000000000004</v>
      </c>
      <c r="J109" s="3" t="s">
        <v>80</v>
      </c>
      <c r="K109" s="5" t="s">
        <v>74</v>
      </c>
      <c r="L109" s="4">
        <v>0.54400000000000004</v>
      </c>
      <c r="M109" s="3" t="s">
        <v>75</v>
      </c>
      <c r="N109" s="6"/>
      <c r="P109">
        <v>41.966830999999999</v>
      </c>
      <c r="Q109">
        <v>-3.4460413000000001</v>
      </c>
      <c r="R109">
        <v>10.029</v>
      </c>
      <c r="S109">
        <v>6.0999999999999999E-2</v>
      </c>
      <c r="T109" s="10">
        <v>-9.8469136154723802E-2</v>
      </c>
      <c r="U109" s="10">
        <v>-8.2100000000000006E-2</v>
      </c>
      <c r="V109" s="10">
        <v>-1.37E-2</v>
      </c>
      <c r="W109" s="10">
        <v>1.38E-2</v>
      </c>
      <c r="X109" s="10">
        <v>0.14944263303442021</v>
      </c>
      <c r="Y109" s="10">
        <v>0.14399999999999999</v>
      </c>
      <c r="Z109" s="10">
        <v>-1.03E-2</v>
      </c>
      <c r="AA109" s="10">
        <v>4.4999999999999997E-3</v>
      </c>
      <c r="AB109" s="10">
        <v>-0.53912033670053461</v>
      </c>
      <c r="AC109" s="10">
        <v>-0.55689999999999995</v>
      </c>
      <c r="AD109" s="10">
        <v>-1.9699999999999999E-2</v>
      </c>
      <c r="AE109" s="10">
        <v>1.9199999999999998E-2</v>
      </c>
      <c r="AF109" s="10">
        <v>142.19509972910899</v>
      </c>
      <c r="AG109" s="10">
        <v>147.2226</v>
      </c>
      <c r="AH109" s="10">
        <v>-13.4781</v>
      </c>
      <c r="AI109" s="10">
        <v>12.8569</v>
      </c>
      <c r="AJ109" s="10">
        <v>0.52688276133486456</v>
      </c>
      <c r="AK109" s="10">
        <v>0.54479999999999995</v>
      </c>
      <c r="AL109" s="10">
        <v>-1.32E-2</v>
      </c>
      <c r="AM109" s="10">
        <v>1.6199999999999999E-2</v>
      </c>
      <c r="AN109" s="10">
        <v>0.93400507041116287</v>
      </c>
      <c r="AO109" s="10">
        <v>0.92090000000000005</v>
      </c>
      <c r="AP109" s="10">
        <v>-1.32E-2</v>
      </c>
      <c r="AQ109" s="10">
        <v>1.1900000000000001E-2</v>
      </c>
      <c r="AR109" s="10">
        <v>4.9999895953607929</v>
      </c>
      <c r="AS109" s="10">
        <v>4.9999000000000002</v>
      </c>
      <c r="AT109" s="10">
        <v>-1E-4</v>
      </c>
      <c r="AU109" s="10">
        <v>0</v>
      </c>
      <c r="AV109" s="10">
        <v>-0.23678855087619161</v>
      </c>
      <c r="AW109" s="10">
        <v>-0.24099999999999999</v>
      </c>
      <c r="AX109" s="10">
        <v>-7.3000000000000001E-3</v>
      </c>
      <c r="AY109" s="10">
        <v>7.4999999999999997E-3</v>
      </c>
      <c r="AZ109" s="10">
        <v>-6.4567886518333228E-2</v>
      </c>
      <c r="BA109" s="10">
        <v>-6.7400000000000002E-2</v>
      </c>
      <c r="BB109" s="10">
        <v>-5.1999999999999998E-3</v>
      </c>
      <c r="BC109" s="10">
        <v>5.0000000000000001E-3</v>
      </c>
      <c r="BD109" s="10">
        <v>1.521063644781129</v>
      </c>
      <c r="BE109" s="10">
        <v>1.5779000000000001</v>
      </c>
      <c r="BF109" s="10">
        <v>-0.20130000000000001</v>
      </c>
      <c r="BG109" s="10">
        <v>0.19869999999999999</v>
      </c>
      <c r="BH109" s="13">
        <v>2657.521484375</v>
      </c>
      <c r="BI109" s="11">
        <v>6.3124025757125892</v>
      </c>
      <c r="BJ109" s="13">
        <v>5478.9380278870867</v>
      </c>
      <c r="BK109" s="11">
        <v>1.0496049861852661</v>
      </c>
      <c r="BL109" s="13">
        <v>8136.4595122620867</v>
      </c>
      <c r="BM109" s="11">
        <v>3.6810037809489269</v>
      </c>
    </row>
    <row r="110" spans="1:65" ht="27" customHeight="1">
      <c r="A110" s="4">
        <v>108</v>
      </c>
      <c r="B110" s="7">
        <f t="shared" si="3"/>
        <v>0.65225</v>
      </c>
      <c r="C110" s="8">
        <v>3</v>
      </c>
      <c r="D110" s="8" t="s">
        <v>74</v>
      </c>
      <c r="E110" s="5" t="s">
        <v>74</v>
      </c>
      <c r="F110" s="4">
        <v>0.65249999999999997</v>
      </c>
      <c r="G110" s="3" t="s">
        <v>77</v>
      </c>
      <c r="H110" s="5" t="s">
        <v>74</v>
      </c>
      <c r="I110" s="4">
        <v>0.65200000000000002</v>
      </c>
      <c r="J110" s="3" t="s">
        <v>75</v>
      </c>
      <c r="K110" s="5" t="s">
        <v>71</v>
      </c>
      <c r="N110" s="6"/>
      <c r="P110">
        <v>41.923909999999999</v>
      </c>
      <c r="Q110">
        <v>-3.4294555999999998</v>
      </c>
      <c r="R110">
        <v>9.3040000000000003</v>
      </c>
      <c r="S110">
        <v>9.8000000000000004E-2</v>
      </c>
      <c r="T110" s="10">
        <v>-0.1187301037009135</v>
      </c>
      <c r="U110" s="10">
        <v>-0.12989999999999999</v>
      </c>
      <c r="V110" s="10">
        <v>-1.47E-2</v>
      </c>
      <c r="W110" s="10">
        <v>2.93E-2</v>
      </c>
      <c r="X110" s="10">
        <v>0.1177766376219944</v>
      </c>
      <c r="Y110" s="10">
        <v>0.12139999999999999</v>
      </c>
      <c r="Z110" s="10">
        <v>-3.0800000000000001E-2</v>
      </c>
      <c r="AA110" s="10">
        <v>2.0400000000000001E-2</v>
      </c>
      <c r="AB110" s="10">
        <v>1.966480010463852</v>
      </c>
      <c r="AC110" s="10">
        <v>1.9621999999999999</v>
      </c>
      <c r="AD110" s="10">
        <v>-3.9800000000000002E-2</v>
      </c>
      <c r="AE110" s="10">
        <v>3.6200000000000003E-2</v>
      </c>
      <c r="AF110" s="10">
        <v>71.065194775249495</v>
      </c>
      <c r="AG110" s="10">
        <v>79.544499999999999</v>
      </c>
      <c r="AH110" s="10">
        <v>-6.4581</v>
      </c>
      <c r="AI110" s="10">
        <v>7.0640000000000001</v>
      </c>
      <c r="AJ110" s="10">
        <v>0.53520318340275641</v>
      </c>
      <c r="AK110" s="10">
        <v>0.53220000000000001</v>
      </c>
      <c r="AL110" s="10">
        <v>-3.61E-2</v>
      </c>
      <c r="AM110" s="10">
        <v>3.5700000000000003E-2</v>
      </c>
      <c r="AN110" s="10">
        <v>0.62477770556745504</v>
      </c>
      <c r="AO110" s="10">
        <v>0.62039999999999995</v>
      </c>
      <c r="AP110" s="10">
        <v>-1.8800000000000001E-2</v>
      </c>
      <c r="AQ110" s="10">
        <v>2.07E-2</v>
      </c>
      <c r="AR110" s="10">
        <v>4.4288620446588931</v>
      </c>
      <c r="AS110" s="10">
        <v>4.4233000000000002</v>
      </c>
      <c r="AT110" s="10">
        <v>-5.1000000000000004E-3</v>
      </c>
      <c r="AU110" s="10">
        <v>5.3E-3</v>
      </c>
      <c r="AV110" s="10">
        <v>0.29563499979061542</v>
      </c>
      <c r="AW110" s="10">
        <v>0.29409999999999997</v>
      </c>
      <c r="AX110" s="10">
        <v>-1.3599999999999999E-2</v>
      </c>
      <c r="AY110" s="10">
        <v>1.35E-2</v>
      </c>
      <c r="AZ110" s="10">
        <v>0.1093908015693195</v>
      </c>
      <c r="BA110" s="10">
        <v>0.112</v>
      </c>
      <c r="BB110" s="10">
        <v>-1.18E-2</v>
      </c>
      <c r="BC110" s="10">
        <v>1.17E-2</v>
      </c>
      <c r="BD110" s="10">
        <v>2.5164023396079978E-2</v>
      </c>
      <c r="BE110" s="10">
        <v>6.3200000000000006E-2</v>
      </c>
      <c r="BF110" s="10">
        <v>-3.5400000000000001E-2</v>
      </c>
      <c r="BG110" s="10">
        <v>4.99E-2</v>
      </c>
      <c r="BH110" s="13">
        <v>955.1058349609375</v>
      </c>
      <c r="BI110" s="11">
        <v>2.2686599405247918</v>
      </c>
      <c r="BJ110" s="13">
        <v>4037.5159619713481</v>
      </c>
      <c r="BK110" s="11">
        <v>1.495376282211611</v>
      </c>
      <c r="BL110" s="13">
        <v>4992.6217969322861</v>
      </c>
      <c r="BM110" s="11">
        <v>1.8820181113682011</v>
      </c>
    </row>
    <row r="111" spans="1:65" ht="27" customHeight="1">
      <c r="A111" s="4">
        <v>109</v>
      </c>
      <c r="B111" s="7">
        <f t="shared" si="3"/>
        <v>0.46433333333333332</v>
      </c>
      <c r="C111" s="8">
        <v>3</v>
      </c>
      <c r="D111" s="8" t="s">
        <v>74</v>
      </c>
      <c r="E111" s="5" t="s">
        <v>74</v>
      </c>
      <c r="F111" s="4">
        <v>0.46400000000000002</v>
      </c>
      <c r="G111" s="3" t="s">
        <v>107</v>
      </c>
      <c r="H111" s="5" t="s">
        <v>74</v>
      </c>
      <c r="I111" s="4">
        <v>0.46500000000000002</v>
      </c>
      <c r="J111" s="3" t="s">
        <v>108</v>
      </c>
      <c r="K111" s="5" t="s">
        <v>74</v>
      </c>
      <c r="L111" s="4">
        <v>0.46400000000000002</v>
      </c>
      <c r="M111" s="3" t="s">
        <v>109</v>
      </c>
      <c r="N111" s="6"/>
      <c r="O111" s="3" t="s">
        <v>110</v>
      </c>
      <c r="P111">
        <v>41.979649999999999</v>
      </c>
      <c r="Q111">
        <v>-3.4582016000000002</v>
      </c>
      <c r="R111">
        <v>9.9250000000000007</v>
      </c>
      <c r="S111">
        <v>5.2999999999999999E-2</v>
      </c>
      <c r="T111" s="10">
        <v>-0.149244584360961</v>
      </c>
      <c r="U111" s="10">
        <v>-0.1479</v>
      </c>
      <c r="V111" s="10">
        <v>-1.6000000000000001E-3</v>
      </c>
      <c r="W111" s="10">
        <v>3.3999999999999998E-3</v>
      </c>
      <c r="X111" s="10">
        <v>0.12658557866178929</v>
      </c>
      <c r="Y111" s="10">
        <v>0.12670000000000001</v>
      </c>
      <c r="Z111" s="10">
        <v>-2.5499999999999998E-2</v>
      </c>
      <c r="AA111" s="10">
        <v>1.6400000000000001E-2</v>
      </c>
      <c r="AB111" s="10">
        <v>-2.52086277250157</v>
      </c>
      <c r="AC111" s="10">
        <v>-2.5114000000000001</v>
      </c>
      <c r="AD111" s="10">
        <v>-9.4999999999999998E-3</v>
      </c>
      <c r="AE111" s="10">
        <v>9.7000000000000003E-3</v>
      </c>
      <c r="AF111" s="10">
        <v>161.29123418973151</v>
      </c>
      <c r="AG111" s="10">
        <v>158.83340000000001</v>
      </c>
      <c r="AH111" s="10">
        <v>-4.4962</v>
      </c>
      <c r="AI111" s="10">
        <v>4.4019000000000004</v>
      </c>
      <c r="AJ111" s="10">
        <v>0.54443853558694077</v>
      </c>
      <c r="AK111" s="10">
        <v>0.55049999999999999</v>
      </c>
      <c r="AL111" s="10">
        <v>-3.1099999999999999E-2</v>
      </c>
      <c r="AM111" s="10">
        <v>2.2100000000000002E-2</v>
      </c>
      <c r="AN111" s="10">
        <v>0.8712014762989515</v>
      </c>
      <c r="AO111" s="10">
        <v>0.86970000000000003</v>
      </c>
      <c r="AP111" s="10">
        <v>-1.7100000000000001E-2</v>
      </c>
      <c r="AQ111" s="10">
        <v>2.47E-2</v>
      </c>
      <c r="AR111" s="10">
        <v>4.9999837438693646</v>
      </c>
      <c r="AS111" s="10">
        <v>4.9999000000000002</v>
      </c>
      <c r="AT111" s="10">
        <v>-1E-4</v>
      </c>
      <c r="AU111" s="10">
        <v>1E-4</v>
      </c>
      <c r="AV111" s="10">
        <v>0.1127663174054325</v>
      </c>
      <c r="AW111" s="10">
        <v>0.1041</v>
      </c>
      <c r="AX111" s="10">
        <v>-9.5999999999999992E-3</v>
      </c>
      <c r="AY111" s="10">
        <v>9.7000000000000003E-3</v>
      </c>
      <c r="AZ111" s="10">
        <v>0.19238243391764101</v>
      </c>
      <c r="BA111" s="10">
        <v>0.19700000000000001</v>
      </c>
      <c r="BB111" s="10">
        <v>-1.1599999999999999E-2</v>
      </c>
      <c r="BC111" s="10">
        <v>1.03E-2</v>
      </c>
      <c r="BD111" s="10">
        <v>5.5965196715879552E-2</v>
      </c>
      <c r="BE111" s="10">
        <v>3.8699999999999998E-2</v>
      </c>
      <c r="BF111" s="10">
        <v>-1.66E-2</v>
      </c>
      <c r="BG111" s="10">
        <v>1.9400000000000001E-2</v>
      </c>
      <c r="BH111" s="13">
        <v>2366.7744140625</v>
      </c>
      <c r="BI111" s="11">
        <v>5.6217919573931114</v>
      </c>
      <c r="BJ111" s="13">
        <v>7906.695245736958</v>
      </c>
      <c r="BK111" s="11">
        <v>1.514692575811678</v>
      </c>
      <c r="BL111" s="13">
        <v>10273.469659799461</v>
      </c>
      <c r="BM111" s="11">
        <v>3.568242266602395</v>
      </c>
    </row>
    <row r="112" spans="1:65" ht="27" customHeight="1">
      <c r="A112" s="4">
        <v>110</v>
      </c>
      <c r="B112" s="7">
        <f t="shared" si="3"/>
        <v>0.52200000000000002</v>
      </c>
      <c r="C112" s="8">
        <v>3</v>
      </c>
      <c r="D112" s="8" t="s">
        <v>74</v>
      </c>
      <c r="E112" s="5" t="s">
        <v>74</v>
      </c>
      <c r="F112" s="4">
        <v>0.52200000000000002</v>
      </c>
      <c r="G112" s="3" t="s">
        <v>75</v>
      </c>
      <c r="H112" s="5" t="s">
        <v>74</v>
      </c>
      <c r="I112" s="4">
        <v>0.52200000000000002</v>
      </c>
      <c r="J112" s="3" t="s">
        <v>75</v>
      </c>
      <c r="K112" s="5" t="s">
        <v>74</v>
      </c>
      <c r="L112" s="4">
        <v>0.52200000000000002</v>
      </c>
      <c r="M112" s="3" t="s">
        <v>77</v>
      </c>
      <c r="N112" s="6"/>
      <c r="P112">
        <v>41.961647999999997</v>
      </c>
      <c r="Q112">
        <v>-3.4581257999999999</v>
      </c>
      <c r="R112">
        <v>9.5630000000000006</v>
      </c>
      <c r="S112">
        <v>0.11600000000000001</v>
      </c>
      <c r="T112" s="10">
        <v>5.1868838198358802E-2</v>
      </c>
      <c r="U112" s="10">
        <v>3.7499999999999999E-2</v>
      </c>
      <c r="V112" s="10">
        <v>-4.2900000000000001E-2</v>
      </c>
      <c r="W112" s="10">
        <v>5.45E-2</v>
      </c>
      <c r="X112" s="10">
        <v>5.3031840743300453E-2</v>
      </c>
      <c r="Y112" s="10">
        <v>6.1199999999999997E-2</v>
      </c>
      <c r="Z112" s="10">
        <v>-2.1499999999999998E-2</v>
      </c>
      <c r="AA112" s="10">
        <v>2.8799999999999999E-2</v>
      </c>
      <c r="AB112" s="10">
        <v>1.757666047133891</v>
      </c>
      <c r="AC112" s="10">
        <v>1.8149</v>
      </c>
      <c r="AD112" s="10">
        <v>-9.1700000000000004E-2</v>
      </c>
      <c r="AE112" s="10">
        <v>9.4399999999999998E-2</v>
      </c>
      <c r="AF112" s="10">
        <v>102.3436617244608</v>
      </c>
      <c r="AG112" s="10">
        <v>109.17189999999999</v>
      </c>
      <c r="AH112" s="10">
        <v>-14.057700000000001</v>
      </c>
      <c r="AI112" s="10">
        <v>15.583500000000001</v>
      </c>
      <c r="AJ112" s="10">
        <v>0.77437170315138937</v>
      </c>
      <c r="AK112" s="10">
        <v>0.79069999999999996</v>
      </c>
      <c r="AL112" s="10">
        <v>-8.8099999999999998E-2</v>
      </c>
      <c r="AM112" s="10">
        <v>7.51E-2</v>
      </c>
      <c r="AN112" s="10">
        <v>0.80997049634052298</v>
      </c>
      <c r="AO112" s="10">
        <v>0.80310000000000004</v>
      </c>
      <c r="AP112" s="10">
        <v>-3.5099999999999999E-2</v>
      </c>
      <c r="AQ112" s="10">
        <v>4.7600000000000003E-2</v>
      </c>
      <c r="AR112" s="10">
        <v>4.8213260530815472</v>
      </c>
      <c r="AS112" s="10">
        <v>4.8211000000000004</v>
      </c>
      <c r="AT112" s="10">
        <v>-3.8999999999999998E-3</v>
      </c>
      <c r="AU112" s="10">
        <v>4.0000000000000001E-3</v>
      </c>
      <c r="AV112" s="10">
        <v>0.13601928416632661</v>
      </c>
      <c r="AW112" s="10">
        <v>0.12740000000000001</v>
      </c>
      <c r="AX112" s="10">
        <v>-1.7399999999999999E-2</v>
      </c>
      <c r="AY112" s="10">
        <v>1.6E-2</v>
      </c>
      <c r="AZ112" s="10">
        <v>0.1235954923176763</v>
      </c>
      <c r="BA112" s="10">
        <v>0.12740000000000001</v>
      </c>
      <c r="BB112" s="10">
        <v>-1.84E-2</v>
      </c>
      <c r="BC112" s="10">
        <v>1.9800000000000002E-2</v>
      </c>
      <c r="BD112" s="10">
        <v>0.47934757342733181</v>
      </c>
      <c r="BE112" s="10">
        <v>0.4788</v>
      </c>
      <c r="BF112" s="10">
        <v>-0.25130000000000002</v>
      </c>
      <c r="BG112" s="10">
        <v>0.30130000000000001</v>
      </c>
      <c r="BH112" s="13">
        <v>965.7655029296875</v>
      </c>
      <c r="BI112" s="11">
        <v>2.2939798169351251</v>
      </c>
      <c r="BJ112" s="13">
        <v>2774.9067848591781</v>
      </c>
      <c r="BK112" s="11">
        <v>0.53723661018741664</v>
      </c>
      <c r="BL112" s="13">
        <v>3740.6722877888651</v>
      </c>
      <c r="BM112" s="11">
        <v>1.4156082135612711</v>
      </c>
    </row>
    <row r="113" spans="1:65" ht="27" customHeight="1">
      <c r="A113" s="4">
        <v>111</v>
      </c>
      <c r="B113" s="7">
        <f t="shared" si="3"/>
        <v>0.85883333333333345</v>
      </c>
      <c r="C113" s="8">
        <v>2</v>
      </c>
      <c r="D113" s="8" t="s">
        <v>79</v>
      </c>
      <c r="E113" s="5" t="s">
        <v>76</v>
      </c>
      <c r="F113" s="4">
        <v>0.85850000000000004</v>
      </c>
      <c r="G113" s="3" t="s">
        <v>92</v>
      </c>
      <c r="H113" s="5" t="s">
        <v>76</v>
      </c>
      <c r="I113" s="4">
        <v>0.85899999999999999</v>
      </c>
      <c r="J113" s="3" t="s">
        <v>92</v>
      </c>
      <c r="K113" s="5" t="s">
        <v>76</v>
      </c>
      <c r="L113" s="4">
        <v>0.85899999999999999</v>
      </c>
      <c r="M113" s="3" t="s">
        <v>92</v>
      </c>
      <c r="N113" s="6"/>
      <c r="P113">
        <v>42.018030000000003</v>
      </c>
      <c r="Q113">
        <v>-3.4875867</v>
      </c>
      <c r="R113">
        <v>10.345000000000001</v>
      </c>
      <c r="S113">
        <v>0.108</v>
      </c>
      <c r="T113" s="10">
        <v>2.2688146852951341E-2</v>
      </c>
      <c r="U113" s="10">
        <v>3.1099999999999999E-2</v>
      </c>
      <c r="V113" s="10">
        <v>-1.54E-2</v>
      </c>
      <c r="W113" s="10">
        <v>2.3400000000000001E-2</v>
      </c>
      <c r="X113" s="10">
        <v>-6.6246464760403037E-2</v>
      </c>
      <c r="Y113" s="10">
        <v>-6.3E-2</v>
      </c>
      <c r="Z113" s="10">
        <v>-3.5299999999999998E-2</v>
      </c>
      <c r="AA113" s="10">
        <v>0.02</v>
      </c>
      <c r="AB113" s="10">
        <v>-2.217489433812363</v>
      </c>
      <c r="AC113" s="10">
        <v>-2.1255000000000002</v>
      </c>
      <c r="AD113" s="10">
        <v>-0.12479999999999999</v>
      </c>
      <c r="AE113" s="10">
        <v>0.1245</v>
      </c>
      <c r="AF113" s="10">
        <v>158.85768798257911</v>
      </c>
      <c r="AG113" s="10">
        <v>166.46530000000001</v>
      </c>
      <c r="AH113" s="10">
        <v>-21.5898</v>
      </c>
      <c r="AI113" s="10">
        <v>26.083400000000001</v>
      </c>
      <c r="AJ113" s="10">
        <v>0.90220421682625584</v>
      </c>
      <c r="AK113" s="10">
        <v>0.89890000000000003</v>
      </c>
      <c r="AL113" s="10">
        <v>-7.2499999999999995E-2</v>
      </c>
      <c r="AM113" s="10">
        <v>4.4200000000000003E-2</v>
      </c>
      <c r="AN113" s="10">
        <v>0.74810252601141158</v>
      </c>
      <c r="AO113" s="10">
        <v>0.75129999999999997</v>
      </c>
      <c r="AP113" s="10">
        <v>-1.8100000000000002E-2</v>
      </c>
      <c r="AQ113" s="10">
        <v>3.09E-2</v>
      </c>
      <c r="AR113" s="10">
        <v>4.9999548435201708</v>
      </c>
      <c r="AS113" s="10">
        <v>4.9997999999999996</v>
      </c>
      <c r="AT113" s="10">
        <v>-2.9999999999999997E-4</v>
      </c>
      <c r="AU113" s="10">
        <v>2.0000000000000001E-4</v>
      </c>
      <c r="AV113" s="10">
        <v>-0.11635964194985959</v>
      </c>
      <c r="AW113" s="10">
        <v>-0.12620000000000001</v>
      </c>
      <c r="AX113" s="10">
        <v>-9.5999999999999992E-3</v>
      </c>
      <c r="AY113" s="10">
        <v>1.2E-2</v>
      </c>
      <c r="AZ113" s="10">
        <v>7.4778104716957339E-2</v>
      </c>
      <c r="BA113" s="10">
        <v>6.3299999999999995E-2</v>
      </c>
      <c r="BB113" s="10">
        <v>-1.61E-2</v>
      </c>
      <c r="BC113" s="10">
        <v>1.6E-2</v>
      </c>
      <c r="BD113" s="10">
        <v>0.90456139123237067</v>
      </c>
      <c r="BE113" s="10">
        <v>0.99</v>
      </c>
      <c r="BF113" s="10">
        <v>-0.37109999999999999</v>
      </c>
      <c r="BG113" s="10">
        <v>0.51770000000000005</v>
      </c>
      <c r="BH113" s="13">
        <v>710.102294921875</v>
      </c>
      <c r="BI113" s="11">
        <v>1.6552501047129951</v>
      </c>
      <c r="BJ113" s="13">
        <v>1605.250901997561</v>
      </c>
      <c r="BK113" s="11">
        <v>0.91000618027072644</v>
      </c>
      <c r="BL113" s="13">
        <v>2315.353196919436</v>
      </c>
      <c r="BM113" s="11">
        <v>1.2826281424918611</v>
      </c>
    </row>
    <row r="114" spans="1:65" ht="27" customHeight="1">
      <c r="A114" s="4">
        <v>112</v>
      </c>
      <c r="B114" s="7">
        <f t="shared" si="3"/>
        <v>0.82299999999999995</v>
      </c>
      <c r="C114" s="8">
        <v>3</v>
      </c>
      <c r="D114" s="8" t="s">
        <v>74</v>
      </c>
      <c r="E114" s="5" t="s">
        <v>74</v>
      </c>
      <c r="F114" s="4">
        <v>0.82350000000000001</v>
      </c>
      <c r="G114" s="3" t="s">
        <v>111</v>
      </c>
      <c r="H114" s="5" t="s">
        <v>74</v>
      </c>
      <c r="I114" s="4">
        <v>0.82299999999999995</v>
      </c>
      <c r="J114" s="3" t="s">
        <v>112</v>
      </c>
      <c r="K114" s="5" t="s">
        <v>74</v>
      </c>
      <c r="L114" s="4">
        <v>0.82250000000000001</v>
      </c>
      <c r="M114" s="3" t="s">
        <v>112</v>
      </c>
      <c r="N114" s="6"/>
      <c r="O114" s="3" t="s">
        <v>92</v>
      </c>
      <c r="P114">
        <v>41.928584000000001</v>
      </c>
      <c r="Q114">
        <v>-3.4509424000000002</v>
      </c>
      <c r="R114">
        <v>9.9369999999999994</v>
      </c>
      <c r="S114">
        <v>4.1000000000000002E-2</v>
      </c>
    </row>
    <row r="115" spans="1:65" ht="27" customHeight="1">
      <c r="A115" s="4">
        <v>113</v>
      </c>
      <c r="B115" s="7">
        <f t="shared" si="3"/>
        <v>0.82366666666666655</v>
      </c>
      <c r="C115" s="8">
        <v>3</v>
      </c>
      <c r="D115" s="8" t="s">
        <v>74</v>
      </c>
      <c r="E115" s="5" t="s">
        <v>76</v>
      </c>
      <c r="F115" s="4">
        <v>0.82399999999999995</v>
      </c>
      <c r="G115" s="3" t="s">
        <v>90</v>
      </c>
      <c r="H115" s="5" t="s">
        <v>74</v>
      </c>
      <c r="I115" s="4">
        <v>0.82399999999999995</v>
      </c>
      <c r="J115" s="3" t="s">
        <v>90</v>
      </c>
      <c r="K115" s="5" t="s">
        <v>74</v>
      </c>
      <c r="L115" s="4">
        <v>0.82299999999999995</v>
      </c>
      <c r="M115" s="3" t="s">
        <v>94</v>
      </c>
      <c r="N115" s="6"/>
      <c r="P115">
        <v>41.900727000000003</v>
      </c>
      <c r="Q115">
        <v>-3.4416350000000002</v>
      </c>
      <c r="R115">
        <v>9.9049999999999994</v>
      </c>
      <c r="S115">
        <v>0.11</v>
      </c>
      <c r="T115" s="10">
        <v>-0.14517913030467891</v>
      </c>
      <c r="U115" s="10">
        <v>-0.14269999999999999</v>
      </c>
      <c r="V115" s="10">
        <v>-5.3E-3</v>
      </c>
      <c r="W115" s="10">
        <v>1.0800000000000001E-2</v>
      </c>
      <c r="X115" s="10">
        <v>-0.14920099365826461</v>
      </c>
      <c r="Y115" s="10">
        <v>-0.1409</v>
      </c>
      <c r="Z115" s="10">
        <v>-6.8999999999999999E-3</v>
      </c>
      <c r="AA115" s="10">
        <v>1.47E-2</v>
      </c>
      <c r="AB115" s="10">
        <v>2.5261285787144092</v>
      </c>
      <c r="AC115" s="10">
        <v>2.5142000000000002</v>
      </c>
      <c r="AD115" s="10">
        <v>-2.06E-2</v>
      </c>
      <c r="AE115" s="10">
        <v>1.78E-2</v>
      </c>
      <c r="AF115" s="10">
        <v>259.7753546737178</v>
      </c>
      <c r="AG115" s="10">
        <v>234.31489999999999</v>
      </c>
      <c r="AH115" s="10">
        <v>-16.2286</v>
      </c>
      <c r="AI115" s="10">
        <v>15.4687</v>
      </c>
      <c r="AJ115" s="10">
        <v>0.47904081003455828</v>
      </c>
      <c r="AK115" s="10">
        <v>0.46860000000000002</v>
      </c>
      <c r="AL115" s="10">
        <v>-1.6799999999999999E-2</v>
      </c>
      <c r="AM115" s="10">
        <v>1.4200000000000001E-2</v>
      </c>
      <c r="AN115" s="10">
        <v>1.4684283234398789</v>
      </c>
      <c r="AO115" s="10">
        <v>1.4726999999999999</v>
      </c>
      <c r="AP115" s="10">
        <v>-3.0700000000000002E-2</v>
      </c>
      <c r="AQ115" s="10">
        <v>3.3500000000000002E-2</v>
      </c>
      <c r="AR115" s="10">
        <v>4.8978967944419827</v>
      </c>
      <c r="AS115" s="10">
        <v>4.8956999999999997</v>
      </c>
      <c r="AT115" s="10">
        <v>-6.1000000000000004E-3</v>
      </c>
      <c r="AU115" s="10">
        <v>6.1999999999999998E-3</v>
      </c>
      <c r="AV115" s="10">
        <v>-2.871894097302952E-2</v>
      </c>
      <c r="AW115" s="10">
        <v>-2.4299999999999999E-2</v>
      </c>
      <c r="AX115" s="10">
        <v>-8.3000000000000001E-3</v>
      </c>
      <c r="AY115" s="10">
        <v>8.3000000000000001E-3</v>
      </c>
      <c r="AZ115" s="10">
        <v>1.2010060555786911E-2</v>
      </c>
      <c r="BA115" s="10">
        <v>8.8999999999999999E-3</v>
      </c>
      <c r="BB115" s="10">
        <v>-4.1000000000000003E-3</v>
      </c>
      <c r="BC115" s="10">
        <v>4.3E-3</v>
      </c>
      <c r="BD115" s="10">
        <v>0.29541886293258779</v>
      </c>
      <c r="BE115" s="10">
        <v>0.18429999999999999</v>
      </c>
      <c r="BF115" s="10">
        <v>-5.74E-2</v>
      </c>
      <c r="BG115" s="10">
        <v>5.9200000000000003E-2</v>
      </c>
      <c r="BH115" s="13">
        <v>4723.251953125</v>
      </c>
      <c r="BI115" s="11">
        <v>11.2191257793943</v>
      </c>
      <c r="BJ115" s="13">
        <v>2705.389514564677</v>
      </c>
      <c r="BK115" s="11">
        <v>0.777410780047321</v>
      </c>
      <c r="BL115" s="13">
        <v>7428.6414676896766</v>
      </c>
      <c r="BM115" s="11">
        <v>5.9982682797208096</v>
      </c>
    </row>
    <row r="116" spans="1:65" ht="27" customHeight="1">
      <c r="A116" s="4">
        <v>114</v>
      </c>
      <c r="B116" s="7">
        <f t="shared" si="3"/>
        <v>1.1537500000000001</v>
      </c>
      <c r="C116" s="8">
        <v>3</v>
      </c>
      <c r="D116" s="8" t="s">
        <v>79</v>
      </c>
      <c r="E116" s="5" t="s">
        <v>74</v>
      </c>
      <c r="F116" s="4">
        <v>1.1535</v>
      </c>
      <c r="G116" s="3" t="s">
        <v>90</v>
      </c>
      <c r="H116" s="5" t="s">
        <v>76</v>
      </c>
      <c r="I116" s="4">
        <v>1.1539999999999999</v>
      </c>
      <c r="J116" s="3" t="s">
        <v>90</v>
      </c>
      <c r="K116" s="5" t="s">
        <v>73</v>
      </c>
      <c r="N116" s="6" t="s">
        <v>113</v>
      </c>
      <c r="O116" s="3" t="s">
        <v>90</v>
      </c>
      <c r="P116">
        <v>42.010955000000003</v>
      </c>
      <c r="Q116">
        <v>-3.4955474</v>
      </c>
    </row>
    <row r="117" spans="1:65" ht="27" customHeight="1">
      <c r="A117" s="4">
        <v>115</v>
      </c>
      <c r="B117" s="7">
        <f t="shared" si="3"/>
        <v>0.46550000000000002</v>
      </c>
      <c r="C117" s="8">
        <v>3</v>
      </c>
      <c r="D117" s="8" t="s">
        <v>74</v>
      </c>
      <c r="E117" s="5" t="s">
        <v>74</v>
      </c>
      <c r="F117" s="4">
        <v>0.46550000000000002</v>
      </c>
      <c r="G117" s="3" t="s">
        <v>80</v>
      </c>
      <c r="H117" s="5" t="s">
        <v>76</v>
      </c>
      <c r="I117" s="4">
        <v>0.46550000000000002</v>
      </c>
      <c r="J117" s="3" t="s">
        <v>80</v>
      </c>
      <c r="K117" s="5" t="s">
        <v>76</v>
      </c>
      <c r="L117" s="4">
        <v>0.46550000000000002</v>
      </c>
      <c r="M117" s="3" t="s">
        <v>80</v>
      </c>
      <c r="N117" s="6"/>
      <c r="P117">
        <v>41.907448000000002</v>
      </c>
      <c r="Q117">
        <v>-3.4508850999999998</v>
      </c>
      <c r="R117">
        <v>10.097</v>
      </c>
      <c r="S117">
        <v>1.4E-2</v>
      </c>
      <c r="T117" s="10">
        <v>-0.1435945301893729</v>
      </c>
      <c r="U117" s="10">
        <v>-0.1258</v>
      </c>
      <c r="V117" s="10">
        <v>-1.7399999999999999E-2</v>
      </c>
      <c r="W117" s="10">
        <v>3.1399999999999997E-2</v>
      </c>
      <c r="X117" s="10">
        <v>1.9810304772582669E-2</v>
      </c>
      <c r="Y117" s="10">
        <v>3.7499999999999999E-2</v>
      </c>
      <c r="Z117" s="10">
        <v>-2.0899999999999998E-2</v>
      </c>
      <c r="AA117" s="10">
        <v>2.4299999999999999E-2</v>
      </c>
      <c r="AB117" s="10">
        <v>-1.549688737765997E-2</v>
      </c>
      <c r="AC117" s="10">
        <v>-6.59E-2</v>
      </c>
      <c r="AD117" s="10">
        <v>-5.9499999999999997E-2</v>
      </c>
      <c r="AE117" s="10">
        <v>5.8799999999999998E-2</v>
      </c>
      <c r="AF117" s="10">
        <v>147.7257587837365</v>
      </c>
      <c r="AG117" s="10">
        <v>152.9238</v>
      </c>
      <c r="AH117" s="10">
        <v>-15.16</v>
      </c>
      <c r="AI117" s="10">
        <v>15.0474</v>
      </c>
      <c r="AJ117" s="10">
        <v>0.67753302982394448</v>
      </c>
      <c r="AK117" s="10">
        <v>0.7056</v>
      </c>
      <c r="AL117" s="10">
        <v>-3.2599999999999997E-2</v>
      </c>
      <c r="AM117" s="10">
        <v>4.9099999999999998E-2</v>
      </c>
      <c r="AN117" s="10">
        <v>1.099904193749959</v>
      </c>
      <c r="AO117" s="10">
        <v>1.0747</v>
      </c>
      <c r="AP117" s="10">
        <v>-3.5400000000000001E-2</v>
      </c>
      <c r="AQ117" s="10">
        <v>2.7199999999999998E-2</v>
      </c>
      <c r="AR117" s="10">
        <v>4.9999834787396926</v>
      </c>
      <c r="AS117" s="10">
        <v>4.9997999999999996</v>
      </c>
      <c r="AT117" s="10">
        <v>-2.0000000000000001E-4</v>
      </c>
      <c r="AU117" s="10">
        <v>1E-4</v>
      </c>
      <c r="AV117" s="10">
        <v>-0.12685481410883259</v>
      </c>
      <c r="AW117" s="10">
        <v>-0.14249999999999999</v>
      </c>
      <c r="AX117" s="10">
        <v>-1.84E-2</v>
      </c>
      <c r="AY117" s="10">
        <v>1.8499999999999999E-2</v>
      </c>
      <c r="AZ117" s="10">
        <v>-0.16378311978367141</v>
      </c>
      <c r="BA117" s="10">
        <v>-0.1638</v>
      </c>
      <c r="BB117" s="10">
        <v>-1.49E-2</v>
      </c>
      <c r="BC117" s="10">
        <v>1.34E-2</v>
      </c>
      <c r="BD117" s="10">
        <v>1.704853214185261</v>
      </c>
      <c r="BE117" s="10">
        <v>1.6950000000000001</v>
      </c>
      <c r="BF117" s="10">
        <v>-0.2893</v>
      </c>
      <c r="BG117" s="10">
        <v>0.20530000000000001</v>
      </c>
      <c r="BH117" s="13">
        <v>1810.269165039062</v>
      </c>
      <c r="BI117" s="11">
        <v>4.2594568589154411</v>
      </c>
      <c r="BJ117" s="13">
        <v>2811.1792709190931</v>
      </c>
      <c r="BK117" s="11">
        <v>0.80227718918923874</v>
      </c>
      <c r="BL117" s="13">
        <v>4621.4484359581547</v>
      </c>
      <c r="BM117" s="11">
        <v>2.5308670240523399</v>
      </c>
    </row>
    <row r="118" spans="1:65" ht="27" customHeight="1">
      <c r="A118" s="4">
        <v>116</v>
      </c>
      <c r="B118" s="7">
        <f t="shared" si="3"/>
        <v>0.79250000000000009</v>
      </c>
      <c r="C118" s="8">
        <v>3</v>
      </c>
      <c r="D118" s="8" t="s">
        <v>74</v>
      </c>
      <c r="E118" s="5" t="s">
        <v>74</v>
      </c>
      <c r="F118" s="4">
        <v>0.79249999999999998</v>
      </c>
      <c r="G118" s="3" t="s">
        <v>80</v>
      </c>
      <c r="H118" s="5" t="s">
        <v>74</v>
      </c>
      <c r="I118" s="4">
        <v>0.79200000000000004</v>
      </c>
      <c r="J118" s="3" t="s">
        <v>89</v>
      </c>
      <c r="K118" s="5" t="s">
        <v>74</v>
      </c>
      <c r="L118" s="4">
        <v>0.79300000000000004</v>
      </c>
      <c r="M118" s="3" t="s">
        <v>75</v>
      </c>
      <c r="N118" s="6" t="s">
        <v>114</v>
      </c>
      <c r="P118">
        <v>41.976644</v>
      </c>
      <c r="Q118">
        <v>-3.4865642000000001</v>
      </c>
      <c r="R118">
        <v>9.8170000000000002</v>
      </c>
      <c r="S118">
        <v>6.2E-2</v>
      </c>
      <c r="T118" s="10">
        <v>6.6736863596803225E-2</v>
      </c>
      <c r="U118" s="10">
        <v>6.08E-2</v>
      </c>
      <c r="V118" s="10">
        <v>-3.6499999999999998E-2</v>
      </c>
      <c r="W118" s="10">
        <v>3.5999999999999997E-2</v>
      </c>
      <c r="X118" s="10">
        <v>6.0057366970988152E-2</v>
      </c>
      <c r="Y118" s="10">
        <v>0.12590000000000001</v>
      </c>
      <c r="Z118" s="10">
        <v>-3.0099999999999998E-2</v>
      </c>
      <c r="AA118" s="10">
        <v>1.7500000000000002E-2</v>
      </c>
      <c r="AB118" s="10">
        <v>-0.72696295526197252</v>
      </c>
      <c r="AC118" s="10">
        <v>-0.73460000000000003</v>
      </c>
      <c r="AD118" s="10">
        <v>-3.2599999999999997E-2</v>
      </c>
      <c r="AE118" s="10">
        <v>3.1300000000000001E-2</v>
      </c>
      <c r="AF118" s="10">
        <v>286.80157201701138</v>
      </c>
      <c r="AG118" s="10">
        <v>257.66050000000001</v>
      </c>
      <c r="AH118" s="10">
        <v>-9.6898</v>
      </c>
      <c r="AI118" s="10">
        <v>11.355700000000001</v>
      </c>
      <c r="AJ118" s="10">
        <v>0.61507229416200904</v>
      </c>
      <c r="AK118" s="10">
        <v>0.57979999999999998</v>
      </c>
      <c r="AL118" s="10">
        <v>-3.95E-2</v>
      </c>
      <c r="AM118" s="10">
        <v>3.6900000000000002E-2</v>
      </c>
      <c r="AN118" s="10">
        <v>0.76801836184183947</v>
      </c>
      <c r="AO118" s="10">
        <v>0.78239999999999998</v>
      </c>
      <c r="AP118" s="10">
        <v>-6.9900000000000004E-2</v>
      </c>
      <c r="AQ118" s="10">
        <v>7.8E-2</v>
      </c>
      <c r="AR118" s="10">
        <v>4.6446807783868342</v>
      </c>
      <c r="AS118" s="10">
        <v>4.6261000000000001</v>
      </c>
      <c r="AT118" s="10">
        <v>-3.7900000000000003E-2</v>
      </c>
      <c r="AU118" s="10">
        <v>3.5400000000000001E-2</v>
      </c>
      <c r="AV118" s="10">
        <v>-0.29101098179581969</v>
      </c>
      <c r="AW118" s="10">
        <v>-0.2823</v>
      </c>
      <c r="AX118" s="10">
        <v>-7.6200000000000004E-2</v>
      </c>
      <c r="AY118" s="10">
        <v>7.2900000000000006E-2</v>
      </c>
      <c r="AZ118" s="10">
        <v>-6.6170251569283689E-2</v>
      </c>
      <c r="BA118" s="10">
        <v>-0.1022</v>
      </c>
      <c r="BB118" s="10">
        <v>-4.3200000000000002E-2</v>
      </c>
      <c r="BC118" s="10">
        <v>4.1399999999999999E-2</v>
      </c>
      <c r="BD118" s="10">
        <v>1.9919178131835831</v>
      </c>
      <c r="BE118" s="10">
        <v>1.9577</v>
      </c>
      <c r="BF118" s="10">
        <v>-6.2199999999999998E-2</v>
      </c>
      <c r="BG118" s="10">
        <v>3.1300000000000001E-2</v>
      </c>
      <c r="BH118" s="13">
        <v>1673.872802734375</v>
      </c>
      <c r="BI118" s="11">
        <v>3.975944899606592</v>
      </c>
      <c r="BJ118" s="13">
        <v>3489.958788309918</v>
      </c>
      <c r="BK118" s="11">
        <v>0.66857448051914137</v>
      </c>
      <c r="BL118" s="13">
        <v>5163.8315910442934</v>
      </c>
      <c r="BM118" s="11">
        <v>2.3222596900628658</v>
      </c>
    </row>
    <row r="119" spans="1:65" ht="27" customHeight="1">
      <c r="A119" s="4">
        <v>117</v>
      </c>
      <c r="B119" s="7">
        <f t="shared" si="3"/>
        <v>0.61166666666666669</v>
      </c>
      <c r="C119" s="8">
        <v>3</v>
      </c>
      <c r="D119" s="8" t="s">
        <v>74</v>
      </c>
      <c r="E119" s="5" t="s">
        <v>76</v>
      </c>
      <c r="F119" s="4">
        <v>0.61199999999999999</v>
      </c>
      <c r="G119" s="3" t="s">
        <v>80</v>
      </c>
      <c r="H119" s="5" t="s">
        <v>74</v>
      </c>
      <c r="I119" s="4">
        <v>0.61099999999999999</v>
      </c>
      <c r="J119" s="3" t="s">
        <v>80</v>
      </c>
      <c r="K119" s="5" t="s">
        <v>74</v>
      </c>
      <c r="L119" s="4">
        <v>0.61199999999999999</v>
      </c>
      <c r="M119" s="3" t="s">
        <v>89</v>
      </c>
      <c r="N119" s="6"/>
      <c r="P119">
        <v>41.963847000000001</v>
      </c>
      <c r="Q119">
        <v>-3.4838629999999999</v>
      </c>
      <c r="R119">
        <v>9.3409999999999993</v>
      </c>
      <c r="S119">
        <v>7.4999999999999997E-2</v>
      </c>
      <c r="T119" s="10">
        <v>-6.1906744619089397E-2</v>
      </c>
      <c r="U119" s="10">
        <v>-6.4600000000000005E-2</v>
      </c>
      <c r="V119" s="10">
        <v>-1.1599999999999999E-2</v>
      </c>
      <c r="W119" s="10">
        <v>1.11E-2</v>
      </c>
      <c r="X119" s="10">
        <v>4.5369125156143143E-2</v>
      </c>
      <c r="Y119" s="10">
        <v>3.4000000000000002E-2</v>
      </c>
      <c r="Z119" s="10">
        <v>-1.37E-2</v>
      </c>
      <c r="AA119" s="10">
        <v>1.4E-2</v>
      </c>
      <c r="AB119" s="10">
        <v>2.4444737612401619</v>
      </c>
      <c r="AC119" s="10">
        <v>2.4420000000000002</v>
      </c>
      <c r="AD119" s="10">
        <v>-6.3500000000000001E-2</v>
      </c>
      <c r="AE119" s="10">
        <v>6.5199999999999994E-2</v>
      </c>
      <c r="AF119" s="10">
        <v>77.10078183972108</v>
      </c>
      <c r="AG119" s="10">
        <v>90.187399999999997</v>
      </c>
      <c r="AH119" s="10">
        <v>-11.301399999999999</v>
      </c>
      <c r="AI119" s="10">
        <v>13.385999999999999</v>
      </c>
      <c r="AJ119" s="10">
        <v>0.91025441977299282</v>
      </c>
      <c r="AK119" s="10">
        <v>0.93540000000000001</v>
      </c>
      <c r="AL119" s="10">
        <v>-2.3599999999999999E-2</v>
      </c>
      <c r="AM119" s="10">
        <v>1.77E-2</v>
      </c>
      <c r="AN119" s="10">
        <v>0.36192577495705969</v>
      </c>
      <c r="AO119" s="10">
        <v>0.35349999999999998</v>
      </c>
      <c r="AP119" s="10">
        <v>-5.1999999999999998E-3</v>
      </c>
      <c r="AQ119" s="10">
        <v>5.5999999999999999E-3</v>
      </c>
      <c r="AR119" s="10">
        <v>4.5448164992139128</v>
      </c>
      <c r="AS119" s="10">
        <v>4.5445000000000002</v>
      </c>
      <c r="AT119" s="10">
        <v>-3.5000000000000001E-3</v>
      </c>
      <c r="AU119" s="10">
        <v>3.5000000000000001E-3</v>
      </c>
      <c r="AV119" s="10">
        <v>0.52489145124377834</v>
      </c>
      <c r="AW119" s="10">
        <v>0.53520000000000001</v>
      </c>
      <c r="AX119" s="10">
        <v>-1.52E-2</v>
      </c>
      <c r="AY119" s="10">
        <v>1.46E-2</v>
      </c>
      <c r="AZ119" s="10">
        <v>0.11013539189198809</v>
      </c>
      <c r="BA119" s="10">
        <v>0.1104</v>
      </c>
      <c r="BB119" s="10">
        <v>-3.3700000000000001E-2</v>
      </c>
      <c r="BC119" s="10">
        <v>3.49E-2</v>
      </c>
      <c r="BD119" s="10">
        <v>1.215331095379487E-2</v>
      </c>
      <c r="BE119" s="10">
        <v>1.7100000000000001E-2</v>
      </c>
      <c r="BF119" s="10">
        <v>-5.3E-3</v>
      </c>
      <c r="BG119" s="10">
        <v>1.12E-2</v>
      </c>
      <c r="BH119" s="13">
        <v>988.1429443359375</v>
      </c>
      <c r="BI119" s="11">
        <v>2.3250422219669118</v>
      </c>
      <c r="BJ119" s="13">
        <v>1979.7217417458951</v>
      </c>
      <c r="BK119" s="11">
        <v>0.56498908154848604</v>
      </c>
      <c r="BL119" s="13">
        <v>2967.864686081833</v>
      </c>
      <c r="BM119" s="11">
        <v>1.4450156517576991</v>
      </c>
    </row>
    <row r="120" spans="1:65" ht="27" customHeight="1">
      <c r="A120" s="4">
        <v>118</v>
      </c>
      <c r="B120" s="7">
        <f t="shared" si="3"/>
        <v>0.61916666666666675</v>
      </c>
      <c r="C120" s="8">
        <v>3</v>
      </c>
      <c r="D120" s="8" t="s">
        <v>74</v>
      </c>
      <c r="E120" s="5" t="s">
        <v>74</v>
      </c>
      <c r="F120" s="4">
        <v>0.61950000000000005</v>
      </c>
      <c r="G120" s="3" t="s">
        <v>95</v>
      </c>
      <c r="H120" s="5" t="s">
        <v>74</v>
      </c>
      <c r="I120" s="4">
        <v>0.61899999999999999</v>
      </c>
      <c r="J120" s="3" t="s">
        <v>95</v>
      </c>
      <c r="K120" s="5" t="s">
        <v>74</v>
      </c>
      <c r="L120" s="4">
        <v>0.61899999999999999</v>
      </c>
      <c r="M120" s="3" t="s">
        <v>95</v>
      </c>
      <c r="N120" s="6"/>
      <c r="P120">
        <v>41.911107000000001</v>
      </c>
      <c r="Q120">
        <v>-3.4649008000000001</v>
      </c>
      <c r="R120">
        <v>9.9049999999999994</v>
      </c>
      <c r="S120">
        <v>2.5000000000000001E-2</v>
      </c>
      <c r="T120" s="10">
        <v>2.752614433207726E-2</v>
      </c>
      <c r="U120" s="10">
        <v>2.8799999999999999E-2</v>
      </c>
      <c r="V120" s="10">
        <v>-5.5999999999999999E-3</v>
      </c>
      <c r="W120" s="10">
        <v>5.4999999999999997E-3</v>
      </c>
      <c r="X120" s="10">
        <v>5.3190698293030858E-2</v>
      </c>
      <c r="Y120" s="10">
        <v>5.3100000000000001E-2</v>
      </c>
      <c r="Z120" s="10">
        <v>-5.7999999999999996E-3</v>
      </c>
      <c r="AA120" s="10">
        <v>5.4999999999999997E-3</v>
      </c>
      <c r="AB120" s="10">
        <v>-2.506133447767882</v>
      </c>
      <c r="AC120" s="10">
        <v>-2.5308000000000002</v>
      </c>
      <c r="AD120" s="10">
        <v>-8.3699999999999997E-2</v>
      </c>
      <c r="AE120" s="10">
        <v>8.1600000000000006E-2</v>
      </c>
      <c r="AF120" s="10">
        <v>119.1038826568539</v>
      </c>
      <c r="AG120" s="10">
        <v>124.1447</v>
      </c>
      <c r="AH120" s="10">
        <v>-14.3104</v>
      </c>
      <c r="AI120" s="10">
        <v>17.953800000000001</v>
      </c>
      <c r="AJ120" s="10">
        <v>0.99805117797766274</v>
      </c>
      <c r="AK120" s="10">
        <v>0.99750000000000005</v>
      </c>
      <c r="AL120" s="10">
        <v>-1.4E-3</v>
      </c>
      <c r="AM120" s="10">
        <v>8.0000000000000004E-4</v>
      </c>
      <c r="AN120" s="10">
        <v>0.57519169910256951</v>
      </c>
      <c r="AO120" s="10">
        <v>0.57450000000000001</v>
      </c>
      <c r="AP120" s="10">
        <v>-2.8E-3</v>
      </c>
      <c r="AQ120" s="10">
        <v>3.2000000000000002E-3</v>
      </c>
      <c r="AR120" s="10">
        <v>4.9999905250008272</v>
      </c>
      <c r="AS120" s="10">
        <v>5</v>
      </c>
      <c r="AT120" s="10">
        <v>-1E-4</v>
      </c>
      <c r="AU120" s="10">
        <v>0</v>
      </c>
      <c r="AV120" s="10">
        <v>-0.14970350332148241</v>
      </c>
      <c r="AW120" s="10">
        <v>-0.14749999999999999</v>
      </c>
      <c r="AX120" s="10">
        <v>-9.4000000000000004E-3</v>
      </c>
      <c r="AY120" s="10">
        <v>9.7999999999999997E-3</v>
      </c>
      <c r="AZ120" s="10">
        <v>8.887734604043307E-2</v>
      </c>
      <c r="BA120" s="10">
        <v>9.1800000000000007E-2</v>
      </c>
      <c r="BB120" s="10">
        <v>-1.3299999999999999E-2</v>
      </c>
      <c r="BC120" s="10">
        <v>1.3599999999999999E-2</v>
      </c>
      <c r="BD120" s="10">
        <v>2.196902951667656E-2</v>
      </c>
      <c r="BE120" s="10">
        <v>5.6599999999999998E-2</v>
      </c>
      <c r="BF120" s="10">
        <v>-3.5499999999999997E-2</v>
      </c>
      <c r="BG120" s="10">
        <v>0.19980000000000001</v>
      </c>
      <c r="BH120" s="13">
        <v>5387.44140625</v>
      </c>
      <c r="BI120" s="11">
        <v>12.919523755995201</v>
      </c>
      <c r="BJ120" s="13">
        <v>12644.76221286192</v>
      </c>
      <c r="BK120" s="11">
        <v>1.8293926812589569</v>
      </c>
      <c r="BL120" s="13">
        <v>18032.203619111919</v>
      </c>
      <c r="BM120" s="11">
        <v>7.3744582186270806</v>
      </c>
    </row>
    <row r="121" spans="1:65" ht="27" customHeight="1">
      <c r="A121" s="4">
        <v>119</v>
      </c>
      <c r="B121" s="7">
        <f t="shared" si="3"/>
        <v>1.2050000000000001</v>
      </c>
      <c r="C121" s="8">
        <v>2</v>
      </c>
      <c r="D121" s="8" t="s">
        <v>79</v>
      </c>
      <c r="E121" s="5" t="s">
        <v>71</v>
      </c>
      <c r="H121" s="5" t="s">
        <v>76</v>
      </c>
      <c r="I121" s="4">
        <v>1.2050000000000001</v>
      </c>
      <c r="J121" s="3" t="s">
        <v>90</v>
      </c>
      <c r="K121" s="5" t="s">
        <v>71</v>
      </c>
      <c r="N121" s="6"/>
      <c r="P121">
        <v>41.963897000000003</v>
      </c>
      <c r="Q121">
        <v>-3.4937505</v>
      </c>
      <c r="R121">
        <v>9.9220000000000006</v>
      </c>
      <c r="S121">
        <v>9.9000000000000005E-2</v>
      </c>
      <c r="T121" s="10">
        <v>-0.14444725432852759</v>
      </c>
      <c r="U121" s="10">
        <v>-0.14019999999999999</v>
      </c>
      <c r="V121" s="10">
        <v>-7.4000000000000003E-3</v>
      </c>
      <c r="W121" s="10">
        <v>1.3299999999999999E-2</v>
      </c>
      <c r="X121" s="10">
        <v>0.14473304607971471</v>
      </c>
      <c r="Y121" s="10">
        <v>0.14030000000000001</v>
      </c>
      <c r="Z121" s="10">
        <v>-1.7500000000000002E-2</v>
      </c>
      <c r="AA121" s="10">
        <v>7.3000000000000001E-3</v>
      </c>
      <c r="AB121" s="10">
        <v>-2.7465277874304102</v>
      </c>
      <c r="AC121" s="10">
        <v>-2.6911</v>
      </c>
      <c r="AD121" s="10">
        <v>-7.2499999999999995E-2</v>
      </c>
      <c r="AE121" s="10">
        <v>6.8000000000000005E-2</v>
      </c>
      <c r="AF121" s="10">
        <v>110.2132530927733</v>
      </c>
      <c r="AG121" s="10">
        <v>119.1383</v>
      </c>
      <c r="AH121" s="10">
        <v>-10.972</v>
      </c>
      <c r="AI121" s="10">
        <v>12.8612</v>
      </c>
      <c r="AJ121" s="10">
        <v>0.69622742185227471</v>
      </c>
      <c r="AK121" s="10">
        <v>0.69330000000000003</v>
      </c>
      <c r="AL121" s="10">
        <v>-4.3999999999999997E-2</v>
      </c>
      <c r="AM121" s="10">
        <v>4.3999999999999997E-2</v>
      </c>
      <c r="AN121" s="10">
        <v>0.55237982076829806</v>
      </c>
      <c r="AO121" s="10">
        <v>0.55969999999999998</v>
      </c>
      <c r="AP121" s="10">
        <v>-2.1100000000000001E-2</v>
      </c>
      <c r="AQ121" s="10">
        <v>2.1700000000000001E-2</v>
      </c>
      <c r="AR121" s="10">
        <v>4.1538282153293853</v>
      </c>
      <c r="AS121" s="10">
        <v>4.1521999999999997</v>
      </c>
      <c r="AT121" s="10">
        <v>-0.01</v>
      </c>
      <c r="AU121" s="10">
        <v>9.9000000000000008E-3</v>
      </c>
      <c r="AV121" s="10">
        <v>0.18762893476788431</v>
      </c>
      <c r="AW121" s="10">
        <v>0.16750000000000001</v>
      </c>
      <c r="AX121" s="10">
        <v>-3.4200000000000001E-2</v>
      </c>
      <c r="AY121" s="10">
        <v>3.6499999999999998E-2</v>
      </c>
      <c r="AZ121" s="10">
        <v>0.37936448334645129</v>
      </c>
      <c r="BA121" s="10">
        <v>0.379</v>
      </c>
      <c r="BB121" s="10">
        <v>-2.41E-2</v>
      </c>
      <c r="BC121" s="10">
        <v>2.47E-2</v>
      </c>
      <c r="BD121" s="10">
        <v>1.141101308946852E-2</v>
      </c>
      <c r="BE121" s="10">
        <v>4.41E-2</v>
      </c>
      <c r="BF121" s="10">
        <v>-2.53E-2</v>
      </c>
      <c r="BG121" s="10">
        <v>5.4600000000000003E-2</v>
      </c>
      <c r="BH121" s="13">
        <v>746.85595703125</v>
      </c>
      <c r="BI121" s="11">
        <v>1.757308134191176</v>
      </c>
      <c r="BJ121" s="13">
        <v>1262.349069225806</v>
      </c>
      <c r="BK121" s="11">
        <v>0.72051887512888513</v>
      </c>
      <c r="BL121" s="13">
        <v>2009.205026257056</v>
      </c>
      <c r="BM121" s="11">
        <v>1.238913504660031</v>
      </c>
    </row>
    <row r="122" spans="1:65" ht="27" customHeight="1">
      <c r="A122" s="4">
        <v>120</v>
      </c>
      <c r="B122" s="7">
        <f t="shared" si="3"/>
        <v>0.66449999999999998</v>
      </c>
      <c r="C122" s="8">
        <v>3</v>
      </c>
      <c r="D122" s="8" t="s">
        <v>74</v>
      </c>
      <c r="E122" s="5" t="s">
        <v>74</v>
      </c>
      <c r="F122" s="4">
        <v>0.66500000000000004</v>
      </c>
      <c r="G122" s="3" t="s">
        <v>80</v>
      </c>
      <c r="H122" s="5" t="s">
        <v>74</v>
      </c>
      <c r="I122" s="4">
        <v>0.66449999999999998</v>
      </c>
      <c r="J122" s="3" t="s">
        <v>80</v>
      </c>
      <c r="K122" s="5" t="s">
        <v>74</v>
      </c>
      <c r="L122" s="4">
        <v>0.66400000000000003</v>
      </c>
      <c r="M122" s="3" t="s">
        <v>80</v>
      </c>
      <c r="N122" s="6"/>
      <c r="P122">
        <v>41.957859999999997</v>
      </c>
      <c r="Q122">
        <v>-3.4941555000000002</v>
      </c>
      <c r="R122">
        <v>10.371</v>
      </c>
      <c r="S122">
        <v>4.2000000000000003E-2</v>
      </c>
      <c r="T122" s="10">
        <v>-0.13983474557779699</v>
      </c>
      <c r="U122" s="10">
        <v>-0.1368</v>
      </c>
      <c r="V122" s="10">
        <v>-9.5999999999999992E-3</v>
      </c>
      <c r="W122" s="10">
        <v>1.8100000000000002E-2</v>
      </c>
      <c r="X122" s="10">
        <v>6.5056669628141273E-2</v>
      </c>
      <c r="Y122" s="10">
        <v>5.7500000000000002E-2</v>
      </c>
      <c r="Z122" s="10">
        <v>-1.47E-2</v>
      </c>
      <c r="AA122" s="10">
        <v>1.6500000000000001E-2</v>
      </c>
      <c r="AB122" s="10">
        <v>2.9355243686436392</v>
      </c>
      <c r="AC122" s="10">
        <v>2.9561999999999999</v>
      </c>
      <c r="AD122" s="10">
        <v>-3.1600000000000003E-2</v>
      </c>
      <c r="AE122" s="10">
        <v>3.1600000000000003E-2</v>
      </c>
      <c r="AF122" s="10">
        <v>173.04966748705459</v>
      </c>
      <c r="AG122" s="10">
        <v>175.4907</v>
      </c>
      <c r="AH122" s="10">
        <v>-9.7746999999999993</v>
      </c>
      <c r="AI122" s="10">
        <v>12.191599999999999</v>
      </c>
      <c r="AJ122" s="10">
        <v>0.76184012613319352</v>
      </c>
      <c r="AK122" s="10">
        <v>0.76429999999999998</v>
      </c>
      <c r="AL122" s="10">
        <v>-2.6499999999999999E-2</v>
      </c>
      <c r="AM122" s="10">
        <v>3.2899999999999999E-2</v>
      </c>
      <c r="AN122" s="10">
        <v>0.83105673016886961</v>
      </c>
      <c r="AO122" s="10">
        <v>0.83440000000000003</v>
      </c>
      <c r="AP122" s="10">
        <v>-1.78E-2</v>
      </c>
      <c r="AQ122" s="10">
        <v>1.6799999999999999E-2</v>
      </c>
      <c r="AR122" s="10">
        <v>4.9999837097723354</v>
      </c>
      <c r="AS122" s="10">
        <v>4.9999000000000002</v>
      </c>
      <c r="AT122" s="10">
        <v>-1E-4</v>
      </c>
      <c r="AU122" s="10">
        <v>1E-4</v>
      </c>
      <c r="AV122" s="10">
        <v>0.22982301923717419</v>
      </c>
      <c r="AW122" s="10">
        <v>0.22470000000000001</v>
      </c>
      <c r="AX122" s="10">
        <v>-1.55E-2</v>
      </c>
      <c r="AY122" s="10">
        <v>1.5299999999999999E-2</v>
      </c>
      <c r="AZ122" s="10">
        <v>0.13843254051836909</v>
      </c>
      <c r="BA122" s="10">
        <v>0.14580000000000001</v>
      </c>
      <c r="BB122" s="10">
        <v>-1.3299999999999999E-2</v>
      </c>
      <c r="BC122" s="10">
        <v>1.2999999999999999E-2</v>
      </c>
      <c r="BD122" s="10">
        <v>0.1234956275705051</v>
      </c>
      <c r="BE122" s="10">
        <v>0.12039999999999999</v>
      </c>
      <c r="BF122" s="10">
        <v>-2.7099999999999999E-2</v>
      </c>
      <c r="BG122" s="10">
        <v>3.1199999999999999E-2</v>
      </c>
      <c r="BH122" s="13">
        <v>4858.01171875</v>
      </c>
      <c r="BI122" s="11">
        <v>11.43061580882353</v>
      </c>
      <c r="BJ122" s="13">
        <v>3767.1754047942391</v>
      </c>
      <c r="BK122" s="11">
        <v>1.0751071360714151</v>
      </c>
      <c r="BL122" s="13">
        <v>8625.1871235442377</v>
      </c>
      <c r="BM122" s="11">
        <v>6.2528614724474716</v>
      </c>
    </row>
    <row r="123" spans="1:65" ht="27" customHeight="1">
      <c r="A123" s="4">
        <v>121</v>
      </c>
      <c r="B123" s="7" t="str">
        <f t="shared" si="3"/>
        <v/>
      </c>
      <c r="C123" s="8"/>
      <c r="D123" s="8" t="s">
        <v>72</v>
      </c>
      <c r="E123" s="5" t="s">
        <v>71</v>
      </c>
      <c r="H123" s="5" t="s">
        <v>73</v>
      </c>
      <c r="I123" s="4"/>
      <c r="K123" s="5" t="s">
        <v>71</v>
      </c>
      <c r="N123" s="6"/>
      <c r="P123">
        <v>41.981893999999997</v>
      </c>
      <c r="Q123">
        <v>-3.5104804000000001</v>
      </c>
    </row>
    <row r="124" spans="1:65" ht="27" customHeight="1">
      <c r="A124" s="4">
        <v>122</v>
      </c>
      <c r="B124" s="7">
        <f t="shared" si="3"/>
        <v>0.62150000000000005</v>
      </c>
      <c r="C124" s="8">
        <v>3</v>
      </c>
      <c r="D124" s="8" t="s">
        <v>74</v>
      </c>
      <c r="E124" s="5" t="s">
        <v>74</v>
      </c>
      <c r="F124" s="4">
        <v>0.62250000000000005</v>
      </c>
      <c r="G124" s="3" t="s">
        <v>80</v>
      </c>
      <c r="H124" s="5" t="s">
        <v>74</v>
      </c>
      <c r="I124" s="4">
        <v>0.621</v>
      </c>
      <c r="J124" s="3" t="s">
        <v>80</v>
      </c>
      <c r="K124" s="5" t="s">
        <v>74</v>
      </c>
      <c r="L124" s="4">
        <v>0.621</v>
      </c>
      <c r="M124" s="3" t="s">
        <v>80</v>
      </c>
      <c r="N124" s="6"/>
      <c r="P124">
        <v>41.963495999999999</v>
      </c>
      <c r="Q124">
        <v>-3.5049123</v>
      </c>
      <c r="R124">
        <v>10.201000000000001</v>
      </c>
      <c r="S124">
        <v>4.0000000000000001E-3</v>
      </c>
      <c r="T124" s="10">
        <v>-0.1478591540609353</v>
      </c>
      <c r="U124" s="10">
        <v>-0.13869999999999999</v>
      </c>
      <c r="V124" s="10">
        <v>-8.2000000000000007E-3</v>
      </c>
      <c r="W124" s="10">
        <v>1.6500000000000001E-2</v>
      </c>
      <c r="X124" s="10">
        <v>0.14149367108689481</v>
      </c>
      <c r="Y124" s="10">
        <v>0.14369999999999999</v>
      </c>
      <c r="Z124" s="10">
        <v>-9.4999999999999998E-3</v>
      </c>
      <c r="AA124" s="10">
        <v>4.7999999999999996E-3</v>
      </c>
      <c r="AB124" s="10">
        <v>-2.8892160127272142</v>
      </c>
      <c r="AC124" s="10">
        <v>-2.88</v>
      </c>
      <c r="AD124" s="10">
        <v>-8.3000000000000001E-3</v>
      </c>
      <c r="AE124" s="10">
        <v>1.24E-2</v>
      </c>
      <c r="AF124" s="10">
        <v>335.68664058720299</v>
      </c>
      <c r="AG124" s="10">
        <v>321.89330000000001</v>
      </c>
      <c r="AH124" s="10">
        <v>-8.2215000000000007</v>
      </c>
      <c r="AI124" s="10">
        <v>9.5320999999999998</v>
      </c>
      <c r="AJ124" s="10">
        <v>6.5771122081140887E-2</v>
      </c>
      <c r="AK124" s="10">
        <v>6.7900000000000002E-2</v>
      </c>
      <c r="AL124" s="10">
        <v>-3.8999999999999998E-3</v>
      </c>
      <c r="AM124" s="10">
        <v>4.1999999999999997E-3</v>
      </c>
      <c r="AN124" s="10">
        <v>1.302282633578931</v>
      </c>
      <c r="AO124" s="10">
        <v>1.2867</v>
      </c>
      <c r="AP124" s="10">
        <v>-3.4299999999999997E-2</v>
      </c>
      <c r="AQ124" s="10">
        <v>3.5099999999999999E-2</v>
      </c>
      <c r="AR124" s="10">
        <v>4.9998817829693989</v>
      </c>
      <c r="AS124" s="10">
        <v>4.9992999999999999</v>
      </c>
      <c r="AT124" s="10">
        <v>-1.1000000000000001E-3</v>
      </c>
      <c r="AU124" s="10">
        <v>5.0000000000000001E-4</v>
      </c>
      <c r="AV124" s="10">
        <v>-6.4075079981344096E-2</v>
      </c>
      <c r="AW124" s="10">
        <v>-5.0200000000000002E-2</v>
      </c>
      <c r="AX124" s="10">
        <v>-3.04E-2</v>
      </c>
      <c r="AY124" s="10">
        <v>2.9499999999999998E-2</v>
      </c>
      <c r="AZ124" s="10">
        <v>0.16934088418035609</v>
      </c>
      <c r="BA124" s="10">
        <v>0.17269999999999999</v>
      </c>
      <c r="BB124" s="10">
        <v>-9.1999999999999998E-3</v>
      </c>
      <c r="BC124" s="10">
        <v>9.5999999999999992E-3</v>
      </c>
      <c r="BD124" s="10">
        <v>1.205992143730213E-2</v>
      </c>
      <c r="BE124" s="10">
        <v>1.7500000000000002E-2</v>
      </c>
      <c r="BF124" s="10">
        <v>-5.4000000000000003E-3</v>
      </c>
      <c r="BG124" s="10">
        <v>1.0999999999999999E-2</v>
      </c>
      <c r="BH124" s="13">
        <v>16038.611328125</v>
      </c>
      <c r="BI124" s="11">
        <v>37.916338837174941</v>
      </c>
      <c r="BJ124" s="13">
        <v>7034.2626468552762</v>
      </c>
      <c r="BK124" s="11">
        <v>2.0143936560295752</v>
      </c>
      <c r="BL124" s="13">
        <v>23072.873974980281</v>
      </c>
      <c r="BM124" s="11">
        <v>19.965366246602262</v>
      </c>
    </row>
    <row r="125" spans="1:65" ht="27" customHeight="1">
      <c r="A125" s="4">
        <v>123</v>
      </c>
      <c r="B125" s="7" t="str">
        <f t="shared" si="3"/>
        <v/>
      </c>
      <c r="C125" s="8"/>
      <c r="D125" s="8" t="s">
        <v>97</v>
      </c>
      <c r="E125" s="5" t="s">
        <v>98</v>
      </c>
      <c r="H125" s="5" t="s">
        <v>98</v>
      </c>
      <c r="I125" s="4"/>
      <c r="K125" s="5" t="s">
        <v>98</v>
      </c>
      <c r="N125" s="6"/>
      <c r="P125">
        <v>41.979360999999997</v>
      </c>
      <c r="Q125">
        <v>-3.5155042000000001</v>
      </c>
    </row>
    <row r="126" spans="1:65" ht="27" customHeight="1">
      <c r="A126" s="4">
        <v>124</v>
      </c>
      <c r="B126" s="7" t="str">
        <f t="shared" si="3"/>
        <v/>
      </c>
      <c r="C126" s="8"/>
      <c r="D126" s="8" t="s">
        <v>72</v>
      </c>
      <c r="E126" s="5" t="s">
        <v>73</v>
      </c>
      <c r="H126" s="5" t="s">
        <v>73</v>
      </c>
      <c r="I126" s="4"/>
      <c r="K126" s="5" t="s">
        <v>73</v>
      </c>
      <c r="N126" s="6"/>
      <c r="P126">
        <v>41.960186999999998</v>
      </c>
      <c r="Q126">
        <v>-3.5101429</v>
      </c>
    </row>
    <row r="127" spans="1:65" ht="27" customHeight="1">
      <c r="A127" s="4">
        <v>125</v>
      </c>
      <c r="B127" s="7" t="str">
        <f t="shared" si="3"/>
        <v/>
      </c>
      <c r="C127" s="8"/>
      <c r="D127" s="8" t="s">
        <v>70</v>
      </c>
      <c r="E127" s="5" t="s">
        <v>71</v>
      </c>
      <c r="H127" s="5" t="s">
        <v>71</v>
      </c>
      <c r="I127" s="4"/>
      <c r="K127" s="5" t="s">
        <v>71</v>
      </c>
      <c r="N127" s="6"/>
      <c r="P127">
        <v>41.904260999999998</v>
      </c>
      <c r="Q127">
        <v>-3.4868777</v>
      </c>
    </row>
    <row r="128" spans="1:65" ht="27" customHeight="1">
      <c r="A128" s="4">
        <v>126</v>
      </c>
      <c r="B128" s="7" t="str">
        <f t="shared" si="3"/>
        <v/>
      </c>
      <c r="C128" s="8"/>
      <c r="D128" s="8" t="s">
        <v>72</v>
      </c>
      <c r="E128" s="5" t="s">
        <v>73</v>
      </c>
      <c r="H128" s="5" t="s">
        <v>73</v>
      </c>
      <c r="I128" s="4"/>
      <c r="K128" s="5" t="s">
        <v>73</v>
      </c>
      <c r="N128" s="6"/>
      <c r="P128">
        <v>41.945270999999998</v>
      </c>
      <c r="Q128">
        <v>-3.5087031999999998</v>
      </c>
    </row>
    <row r="129" spans="1:65" ht="27" customHeight="1">
      <c r="A129" s="4">
        <v>127</v>
      </c>
      <c r="B129" s="7">
        <f t="shared" si="3"/>
        <v>0.62149999999999994</v>
      </c>
      <c r="C129" s="8">
        <v>3</v>
      </c>
      <c r="D129" s="8" t="s">
        <v>74</v>
      </c>
      <c r="E129" s="5" t="s">
        <v>74</v>
      </c>
      <c r="F129" s="4">
        <v>0.622</v>
      </c>
      <c r="G129" s="3" t="s">
        <v>89</v>
      </c>
      <c r="H129" s="5" t="s">
        <v>74</v>
      </c>
      <c r="I129" s="4">
        <v>0.621</v>
      </c>
      <c r="J129" s="3" t="s">
        <v>75</v>
      </c>
      <c r="K129" s="5" t="s">
        <v>71</v>
      </c>
      <c r="N129" s="6"/>
      <c r="O129" s="3" t="s">
        <v>78</v>
      </c>
      <c r="P129">
        <v>41.962997999999999</v>
      </c>
      <c r="Q129">
        <v>-3.5201983999999999</v>
      </c>
      <c r="R129">
        <v>9.6969999999999992</v>
      </c>
      <c r="S129">
        <v>6.3E-2</v>
      </c>
      <c r="T129" s="10">
        <v>-0.1463649792393398</v>
      </c>
      <c r="U129" s="10">
        <v>-0.1424</v>
      </c>
      <c r="V129" s="10">
        <v>-5.8999999999999999E-3</v>
      </c>
      <c r="W129" s="10">
        <v>1.47E-2</v>
      </c>
      <c r="X129" s="10">
        <v>0.14956905262261519</v>
      </c>
      <c r="Y129" s="10">
        <v>0.1484</v>
      </c>
      <c r="Z129" s="10">
        <v>-2.3E-3</v>
      </c>
      <c r="AA129" s="10">
        <v>1.1999999999999999E-3</v>
      </c>
      <c r="AB129" s="10">
        <v>-1.4515049443480681</v>
      </c>
      <c r="AC129" s="10">
        <v>-1.4517</v>
      </c>
      <c r="AD129" s="10">
        <v>-3.0099999999999998E-2</v>
      </c>
      <c r="AE129" s="10">
        <v>2.7799999999999998E-2</v>
      </c>
      <c r="AF129" s="10">
        <v>187.807830986222</v>
      </c>
      <c r="AG129" s="10">
        <v>134.45910000000001</v>
      </c>
      <c r="AH129" s="10">
        <v>-13.5501</v>
      </c>
      <c r="AI129" s="10">
        <v>19.413799999999998</v>
      </c>
      <c r="AJ129" s="10">
        <v>0.70866588998477187</v>
      </c>
      <c r="AK129" s="10">
        <v>0.70879999999999999</v>
      </c>
      <c r="AL129" s="10">
        <v>-2.53E-2</v>
      </c>
      <c r="AM129" s="10">
        <v>1.83E-2</v>
      </c>
      <c r="AN129" s="10">
        <v>0.55251694920913141</v>
      </c>
      <c r="AO129" s="10">
        <v>0.55659999999999998</v>
      </c>
      <c r="AP129" s="10">
        <v>-7.9000000000000008E-3</v>
      </c>
      <c r="AQ129" s="10">
        <v>0.01</v>
      </c>
      <c r="AR129" s="10">
        <v>4.6281572508168551</v>
      </c>
      <c r="AS129" s="10">
        <v>4.6279000000000003</v>
      </c>
      <c r="AT129" s="10">
        <v>-3.5999999999999999E-3</v>
      </c>
      <c r="AU129" s="10">
        <v>3.5999999999999999E-3</v>
      </c>
      <c r="AV129" s="10">
        <v>-0.27290968985338981</v>
      </c>
      <c r="AW129" s="10">
        <v>-0.27350000000000002</v>
      </c>
      <c r="AX129" s="10">
        <v>-1.29E-2</v>
      </c>
      <c r="AY129" s="10">
        <v>1.29E-2</v>
      </c>
      <c r="AZ129" s="10">
        <v>0.30734050693502862</v>
      </c>
      <c r="BA129" s="10">
        <v>0.30020000000000002</v>
      </c>
      <c r="BB129" s="10">
        <v>-1.14E-2</v>
      </c>
      <c r="BC129" s="10">
        <v>1.21E-2</v>
      </c>
      <c r="BD129" s="10">
        <v>0.3422032042012631</v>
      </c>
      <c r="BE129" s="10">
        <v>0.1096</v>
      </c>
      <c r="BF129" s="10">
        <v>-7.2400000000000006E-2</v>
      </c>
      <c r="BG129" s="10">
        <v>0.1308</v>
      </c>
      <c r="BH129" s="13">
        <v>1204.090454101562</v>
      </c>
      <c r="BI129" s="11">
        <v>2.8067376552483969</v>
      </c>
      <c r="BJ129" s="13">
        <v>1073.088540680782</v>
      </c>
      <c r="BK129" s="11">
        <v>0.60832683712062485</v>
      </c>
      <c r="BL129" s="13">
        <v>2277.178994782344</v>
      </c>
      <c r="BM129" s="11">
        <v>1.707532246184511</v>
      </c>
    </row>
    <row r="130" spans="1:65" ht="27" customHeight="1">
      <c r="A130" s="4">
        <v>128</v>
      </c>
      <c r="B130" s="7">
        <f t="shared" si="3"/>
        <v>0.46983333333333333</v>
      </c>
      <c r="C130" s="8">
        <v>3</v>
      </c>
      <c r="D130" s="8" t="s">
        <v>74</v>
      </c>
      <c r="E130" s="5" t="s">
        <v>74</v>
      </c>
      <c r="F130" s="4">
        <v>0.47049999999999997</v>
      </c>
      <c r="G130" s="3" t="s">
        <v>109</v>
      </c>
      <c r="H130" s="5" t="s">
        <v>74</v>
      </c>
      <c r="I130" s="4">
        <v>0.46899999999999997</v>
      </c>
      <c r="J130" s="3" t="s">
        <v>109</v>
      </c>
      <c r="K130" s="5" t="s">
        <v>74</v>
      </c>
      <c r="L130" s="4">
        <v>0.47</v>
      </c>
      <c r="M130" s="3" t="s">
        <v>109</v>
      </c>
      <c r="N130" s="6"/>
      <c r="P130">
        <v>41.974919</v>
      </c>
      <c r="Q130">
        <v>-3.5299111999999999</v>
      </c>
      <c r="R130">
        <v>9.6430000000000007</v>
      </c>
      <c r="S130">
        <v>7.0000000000000007E-2</v>
      </c>
      <c r="T130" s="10">
        <v>0.13443510101322989</v>
      </c>
      <c r="U130" s="10">
        <v>8.5099999999999995E-2</v>
      </c>
      <c r="V130" s="10">
        <v>-5.8400000000000001E-2</v>
      </c>
      <c r="W130" s="10">
        <v>4.53E-2</v>
      </c>
      <c r="X130" s="10">
        <v>-0.140239586769144</v>
      </c>
      <c r="Y130" s="10">
        <v>-0.13150000000000001</v>
      </c>
      <c r="Z130" s="10">
        <v>-1.37E-2</v>
      </c>
      <c r="AA130" s="10">
        <v>2.3699999999999999E-2</v>
      </c>
      <c r="AB130" s="10">
        <v>1.32108478260651</v>
      </c>
      <c r="AC130" s="10">
        <v>1.3007</v>
      </c>
      <c r="AD130" s="10">
        <v>-5.21E-2</v>
      </c>
      <c r="AE130" s="10">
        <v>3.6200000000000003E-2</v>
      </c>
      <c r="AF130" s="10">
        <v>98.181864859139054</v>
      </c>
      <c r="AG130" s="10">
        <v>116.3438</v>
      </c>
      <c r="AH130" s="10">
        <v>-12.022</v>
      </c>
      <c r="AI130" s="10">
        <v>12.3003</v>
      </c>
      <c r="AJ130" s="10">
        <v>0.47180941850642882</v>
      </c>
      <c r="AK130" s="10">
        <v>0.5252</v>
      </c>
      <c r="AL130" s="10">
        <v>-4.6899999999999997E-2</v>
      </c>
      <c r="AM130" s="10">
        <v>6.5199999999999994E-2</v>
      </c>
      <c r="AN130" s="10">
        <v>1.2057904145291931</v>
      </c>
      <c r="AO130" s="10">
        <v>1.147</v>
      </c>
      <c r="AP130" s="10">
        <v>-5.9499999999999997E-2</v>
      </c>
      <c r="AQ130" s="10">
        <v>5.0999999999999997E-2</v>
      </c>
      <c r="AR130" s="10">
        <v>4.9400763689343243</v>
      </c>
      <c r="AS130" s="10">
        <v>4.9398</v>
      </c>
      <c r="AT130" s="10">
        <v>-5.0000000000000001E-3</v>
      </c>
      <c r="AU130" s="10">
        <v>4.8999999999999998E-3</v>
      </c>
      <c r="AV130" s="10">
        <v>0.1748383670982516</v>
      </c>
      <c r="AW130" s="10">
        <v>0.1701</v>
      </c>
      <c r="AX130" s="10">
        <v>-1.2200000000000001E-2</v>
      </c>
      <c r="AY130" s="10">
        <v>1.12E-2</v>
      </c>
      <c r="AZ130" s="10">
        <v>-9.4193945922125266E-2</v>
      </c>
      <c r="BA130" s="10">
        <v>-0.10580000000000001</v>
      </c>
      <c r="BB130" s="10">
        <v>-1.66E-2</v>
      </c>
      <c r="BC130" s="10">
        <v>1.1599999999999999E-2</v>
      </c>
      <c r="BD130" s="10">
        <v>1.2612033872608579</v>
      </c>
      <c r="BE130" s="10">
        <v>1.4994000000000001</v>
      </c>
      <c r="BF130" s="10">
        <v>-0.26879999999999998</v>
      </c>
      <c r="BG130" s="10">
        <v>0.28449999999999998</v>
      </c>
      <c r="BH130" s="13">
        <v>300.78842163085938</v>
      </c>
      <c r="BI130" s="11">
        <v>0.70773746266084558</v>
      </c>
      <c r="BJ130" s="13">
        <v>2914.8792660677059</v>
      </c>
      <c r="BK130" s="11">
        <v>0.83187193666315817</v>
      </c>
      <c r="BL130" s="13">
        <v>3215.6676876985662</v>
      </c>
      <c r="BM130" s="11">
        <v>0.76980469966200182</v>
      </c>
    </row>
    <row r="131" spans="1:65" ht="27" customHeight="1">
      <c r="A131" s="4">
        <v>129</v>
      </c>
      <c r="B131" s="7">
        <f t="shared" ref="B131:B144" si="4">IFERROR(AVERAGE(F131,L131,I131),"")</f>
        <v>0.46400000000000002</v>
      </c>
      <c r="C131" s="8">
        <v>3</v>
      </c>
      <c r="D131" s="8" t="s">
        <v>74</v>
      </c>
      <c r="E131" s="5" t="s">
        <v>76</v>
      </c>
      <c r="F131" s="4">
        <v>0.46400000000000002</v>
      </c>
      <c r="G131" s="3" t="s">
        <v>115</v>
      </c>
      <c r="H131" s="5" t="s">
        <v>74</v>
      </c>
      <c r="I131" s="4">
        <v>0.46400000000000002</v>
      </c>
      <c r="J131" s="3" t="s">
        <v>115</v>
      </c>
      <c r="K131" s="5" t="s">
        <v>74</v>
      </c>
      <c r="L131" s="4">
        <v>0.46400000000000002</v>
      </c>
      <c r="M131" s="3" t="s">
        <v>115</v>
      </c>
      <c r="N131" s="6"/>
      <c r="P131">
        <v>41.947113999999999</v>
      </c>
      <c r="Q131">
        <v>-3.5213136</v>
      </c>
      <c r="R131">
        <v>9.4450000000000003</v>
      </c>
      <c r="S131">
        <v>4.2999999999999997E-2</v>
      </c>
      <c r="T131" s="10">
        <v>-5.050657451628611E-2</v>
      </c>
      <c r="U131" s="10">
        <v>-8.9200000000000002E-2</v>
      </c>
      <c r="V131" s="10">
        <v>-3.4500000000000003E-2</v>
      </c>
      <c r="W131" s="10">
        <v>3.3700000000000001E-2</v>
      </c>
      <c r="X131" s="10">
        <v>0.1099656868815303</v>
      </c>
      <c r="Y131" s="10">
        <v>9.5899999999999999E-2</v>
      </c>
      <c r="Z131" s="10">
        <v>-1.7500000000000002E-2</v>
      </c>
      <c r="AA131" s="10">
        <v>1.72E-2</v>
      </c>
      <c r="AB131" s="10">
        <v>0.14597368444731901</v>
      </c>
      <c r="AC131" s="10">
        <v>0.15079999999999999</v>
      </c>
      <c r="AD131" s="10">
        <v>-2.6200000000000001E-2</v>
      </c>
      <c r="AE131" s="10">
        <v>2.6700000000000002E-2</v>
      </c>
      <c r="AF131" s="10">
        <v>148.07784941579061</v>
      </c>
      <c r="AG131" s="10">
        <v>137.33629999999999</v>
      </c>
      <c r="AH131" s="10">
        <v>-8.9373000000000005</v>
      </c>
      <c r="AI131" s="10">
        <v>8.7428000000000008</v>
      </c>
      <c r="AJ131" s="10">
        <v>0.74219031207819874</v>
      </c>
      <c r="AK131" s="10">
        <v>0.67</v>
      </c>
      <c r="AL131" s="10">
        <v>-4.8500000000000001E-2</v>
      </c>
      <c r="AM131" s="10">
        <v>5.11E-2</v>
      </c>
      <c r="AN131" s="10">
        <v>0.96836031728332128</v>
      </c>
      <c r="AO131" s="10">
        <v>1.0152000000000001</v>
      </c>
      <c r="AP131" s="10">
        <v>-3.7900000000000003E-2</v>
      </c>
      <c r="AQ131" s="10">
        <v>3.8300000000000001E-2</v>
      </c>
      <c r="AR131" s="10">
        <v>4.6532060629177403</v>
      </c>
      <c r="AS131" s="10">
        <v>4.6524000000000001</v>
      </c>
      <c r="AT131" s="10">
        <v>-6.1000000000000004E-3</v>
      </c>
      <c r="AU131" s="10">
        <v>6.1000000000000004E-3</v>
      </c>
      <c r="AV131" s="10">
        <v>5.8488225481891483E-2</v>
      </c>
      <c r="AW131" s="10">
        <v>6.8500000000000005E-2</v>
      </c>
      <c r="AX131" s="10">
        <v>-1.37E-2</v>
      </c>
      <c r="AY131" s="10">
        <v>1.3599999999999999E-2</v>
      </c>
      <c r="AZ131" s="10">
        <v>-0.28707361447447077</v>
      </c>
      <c r="BA131" s="10">
        <v>-0.25969999999999999</v>
      </c>
      <c r="BB131" s="10">
        <v>-2.1000000000000001E-2</v>
      </c>
      <c r="BC131" s="10">
        <v>1.95E-2</v>
      </c>
      <c r="BD131" s="10">
        <v>0.51504326532963796</v>
      </c>
      <c r="BE131" s="10">
        <v>0.54959999999999998</v>
      </c>
      <c r="BF131" s="10">
        <v>-9.1899999999999996E-2</v>
      </c>
      <c r="BG131" s="10">
        <v>0.10349999999999999</v>
      </c>
      <c r="BH131" s="13">
        <v>942.90667724609375</v>
      </c>
      <c r="BI131" s="11">
        <v>2.2611670917172511</v>
      </c>
      <c r="BJ131" s="13">
        <v>5100.7342557930506</v>
      </c>
      <c r="BK131" s="11">
        <v>0.73795345135894841</v>
      </c>
      <c r="BL131" s="13">
        <v>6043.6409330391443</v>
      </c>
      <c r="BM131" s="11">
        <v>1.4995602715381</v>
      </c>
    </row>
    <row r="132" spans="1:65" ht="27" customHeight="1">
      <c r="A132" s="4">
        <v>130</v>
      </c>
      <c r="B132" s="7">
        <f t="shared" si="4"/>
        <v>0.70616666666666672</v>
      </c>
      <c r="C132" s="8">
        <v>3</v>
      </c>
      <c r="D132" s="8" t="s">
        <v>74</v>
      </c>
      <c r="E132" s="5" t="s">
        <v>74</v>
      </c>
      <c r="F132" s="4">
        <v>0.70650000000000002</v>
      </c>
      <c r="G132" s="3" t="s">
        <v>89</v>
      </c>
      <c r="H132" s="5" t="s">
        <v>74</v>
      </c>
      <c r="I132" s="4">
        <v>0.70499999999999996</v>
      </c>
      <c r="J132" s="3" t="s">
        <v>95</v>
      </c>
      <c r="K132" s="5" t="s">
        <v>76</v>
      </c>
      <c r="L132" s="4">
        <v>0.70699999999999996</v>
      </c>
      <c r="M132" s="3" t="s">
        <v>95</v>
      </c>
      <c r="N132" s="6"/>
      <c r="O132" s="3" t="s">
        <v>116</v>
      </c>
      <c r="P132">
        <v>41.885212000000003</v>
      </c>
      <c r="Q132">
        <v>-3.4952003</v>
      </c>
      <c r="R132">
        <v>9.3989999999999991</v>
      </c>
      <c r="S132">
        <v>0.123</v>
      </c>
      <c r="T132" s="10">
        <v>-0.1495263693615555</v>
      </c>
      <c r="U132" s="10">
        <v>-0.1454</v>
      </c>
      <c r="V132" s="10">
        <v>-3.3E-3</v>
      </c>
      <c r="W132" s="10">
        <v>6.1000000000000004E-3</v>
      </c>
      <c r="X132" s="10">
        <v>0.11177920180559731</v>
      </c>
      <c r="Y132" s="10">
        <v>0.1023</v>
      </c>
      <c r="Z132" s="10">
        <v>-3.2099999999999997E-2</v>
      </c>
      <c r="AA132" s="10">
        <v>2.81E-2</v>
      </c>
      <c r="AB132" s="10">
        <v>-0.94500076600303506</v>
      </c>
      <c r="AC132" s="10">
        <v>-0.96179999999999999</v>
      </c>
      <c r="AD132" s="10">
        <v>-1.9300000000000001E-2</v>
      </c>
      <c r="AE132" s="10">
        <v>1.6899999999999998E-2</v>
      </c>
      <c r="AF132" s="10">
        <v>115.7689194355267</v>
      </c>
      <c r="AG132" s="10">
        <v>112.8569</v>
      </c>
      <c r="AH132" s="10">
        <v>-4.6801000000000004</v>
      </c>
      <c r="AI132" s="10">
        <v>4.7355999999999998</v>
      </c>
      <c r="AJ132" s="10">
        <v>0.37452541253939309</v>
      </c>
      <c r="AK132" s="10">
        <v>0.37890000000000001</v>
      </c>
      <c r="AL132" s="10">
        <v>-2.4199999999999999E-2</v>
      </c>
      <c r="AM132" s="10">
        <v>2.7300000000000001E-2</v>
      </c>
      <c r="AN132" s="10">
        <v>0.86790889325599663</v>
      </c>
      <c r="AO132" s="10">
        <v>0.86350000000000005</v>
      </c>
      <c r="AP132" s="10">
        <v>-2.81E-2</v>
      </c>
      <c r="AQ132" s="10">
        <v>2.7199999999999998E-2</v>
      </c>
      <c r="AR132" s="10">
        <v>4.5264196932948924</v>
      </c>
      <c r="AS132" s="10">
        <v>4.5266000000000002</v>
      </c>
      <c r="AT132" s="10">
        <v>-5.1999999999999998E-3</v>
      </c>
      <c r="AU132" s="10">
        <v>5.0000000000000001E-3</v>
      </c>
      <c r="AV132" s="10">
        <v>9.5236484478080641E-2</v>
      </c>
      <c r="AW132" s="10">
        <v>9.4500000000000001E-2</v>
      </c>
      <c r="AX132" s="10">
        <v>-1.0800000000000001E-2</v>
      </c>
      <c r="AY132" s="10">
        <v>1.01E-2</v>
      </c>
      <c r="AZ132" s="10">
        <v>8.0796432530105822E-2</v>
      </c>
      <c r="BA132" s="10">
        <v>8.1500000000000003E-2</v>
      </c>
      <c r="BB132" s="10">
        <v>-6.4999999999999997E-3</v>
      </c>
      <c r="BC132" s="10">
        <v>7.4999999999999997E-3</v>
      </c>
      <c r="BD132" s="10">
        <v>0.23253651469487319</v>
      </c>
      <c r="BE132" s="10">
        <v>0.21410000000000001</v>
      </c>
      <c r="BF132" s="10">
        <v>-2.9100000000000001E-2</v>
      </c>
      <c r="BG132" s="10">
        <v>3.4500000000000003E-2</v>
      </c>
      <c r="BH132" s="13">
        <v>1883.528930664062</v>
      </c>
      <c r="BI132" s="11">
        <v>4.3905103278882578</v>
      </c>
      <c r="BJ132" s="13">
        <v>1592.3382757965351</v>
      </c>
      <c r="BK132" s="11">
        <v>0.90268609739032568</v>
      </c>
      <c r="BL132" s="13">
        <v>3475.8672064605971</v>
      </c>
      <c r="BM132" s="11">
        <v>2.646598212639292</v>
      </c>
    </row>
    <row r="133" spans="1:65" ht="27" customHeight="1">
      <c r="A133" s="4">
        <v>131</v>
      </c>
      <c r="B133" s="7">
        <f t="shared" si="4"/>
        <v>0.53033333333333332</v>
      </c>
      <c r="C133" s="8">
        <v>3</v>
      </c>
      <c r="D133" s="8" t="s">
        <v>74</v>
      </c>
      <c r="E133" s="5" t="s">
        <v>74</v>
      </c>
      <c r="F133" s="4">
        <v>0.53049999999999997</v>
      </c>
      <c r="G133" s="3" t="s">
        <v>75</v>
      </c>
      <c r="H133" s="5" t="s">
        <v>74</v>
      </c>
      <c r="I133" s="4">
        <v>0.53</v>
      </c>
      <c r="J133" s="3" t="s">
        <v>75</v>
      </c>
      <c r="K133" s="5" t="s">
        <v>74</v>
      </c>
      <c r="L133" s="4">
        <v>0.53049999999999997</v>
      </c>
      <c r="M133" s="3" t="s">
        <v>75</v>
      </c>
      <c r="N133" s="6"/>
      <c r="O133" s="3" t="s">
        <v>86</v>
      </c>
      <c r="P133">
        <v>41.938993000000004</v>
      </c>
      <c r="Q133">
        <v>-3.5236247000000001</v>
      </c>
      <c r="R133">
        <v>9.6470000000000002</v>
      </c>
      <c r="S133">
        <v>4.3999999999999997E-2</v>
      </c>
      <c r="T133" s="10">
        <v>-0.1470987168972695</v>
      </c>
      <c r="U133" s="10">
        <v>-0.14030000000000001</v>
      </c>
      <c r="V133" s="10">
        <v>-7.0000000000000001E-3</v>
      </c>
      <c r="W133" s="10">
        <v>1.2E-2</v>
      </c>
      <c r="X133" s="10">
        <v>3.1891396164693442E-2</v>
      </c>
      <c r="Y133" s="10">
        <v>3.2000000000000001E-2</v>
      </c>
      <c r="Z133" s="10">
        <v>-1.9300000000000001E-2</v>
      </c>
      <c r="AA133" s="10">
        <v>1.7100000000000001E-2</v>
      </c>
      <c r="AB133" s="10">
        <v>0.43558606907656028</v>
      </c>
      <c r="AC133" s="10">
        <v>0.45600000000000002</v>
      </c>
      <c r="AD133" s="10">
        <v>-3.5999999999999997E-2</v>
      </c>
      <c r="AE133" s="10">
        <v>3.5299999999999998E-2</v>
      </c>
      <c r="AF133" s="10">
        <v>135.30264600271579</v>
      </c>
      <c r="AG133" s="10">
        <v>135.65819999999999</v>
      </c>
      <c r="AH133" s="10">
        <v>-9.5502000000000002</v>
      </c>
      <c r="AI133" s="10">
        <v>10.4404</v>
      </c>
      <c r="AJ133" s="10">
        <v>0.76415476022726847</v>
      </c>
      <c r="AK133" s="10">
        <v>0.77490000000000003</v>
      </c>
      <c r="AL133" s="10">
        <v>-2.92E-2</v>
      </c>
      <c r="AM133" s="10">
        <v>3.0200000000000001E-2</v>
      </c>
      <c r="AN133" s="10">
        <v>0.54507921053475439</v>
      </c>
      <c r="AO133" s="10">
        <v>0.54069999999999996</v>
      </c>
      <c r="AP133" s="10">
        <v>-1.09E-2</v>
      </c>
      <c r="AQ133" s="10">
        <v>1.11E-2</v>
      </c>
      <c r="AR133" s="10">
        <v>4.7918572226871614</v>
      </c>
      <c r="AS133" s="10">
        <v>4.7896999999999998</v>
      </c>
      <c r="AT133" s="10">
        <v>-3.0999999999999999E-3</v>
      </c>
      <c r="AU133" s="10">
        <v>3.0000000000000001E-3</v>
      </c>
      <c r="AV133" s="10">
        <v>0.1923402053423198</v>
      </c>
      <c r="AW133" s="10">
        <v>0.19980000000000001</v>
      </c>
      <c r="AX133" s="10">
        <v>-1.38E-2</v>
      </c>
      <c r="AY133" s="10">
        <v>1.37E-2</v>
      </c>
      <c r="AZ133" s="10">
        <v>-0.25520583517558809</v>
      </c>
      <c r="BA133" s="10">
        <v>-0.254</v>
      </c>
      <c r="BB133" s="10">
        <v>-1.34E-2</v>
      </c>
      <c r="BC133" s="10">
        <v>1.41E-2</v>
      </c>
      <c r="BD133" s="10">
        <v>4.2795500718783297E-2</v>
      </c>
      <c r="BE133" s="10">
        <v>4.6800000000000001E-2</v>
      </c>
      <c r="BF133" s="10">
        <v>-2.3900000000000001E-2</v>
      </c>
      <c r="BG133" s="10">
        <v>3.0300000000000001E-2</v>
      </c>
      <c r="BH133" s="13">
        <v>860.92437744140625</v>
      </c>
      <c r="BI133" s="11">
        <v>2.0257044175091909</v>
      </c>
      <c r="BJ133" s="13">
        <v>2538.7002614089852</v>
      </c>
      <c r="BK133" s="11">
        <v>0.72451491478566921</v>
      </c>
      <c r="BL133" s="13">
        <v>3399.624638850391</v>
      </c>
      <c r="BM133" s="11">
        <v>1.37510966614743</v>
      </c>
    </row>
    <row r="134" spans="1:65" ht="27" customHeight="1">
      <c r="A134" s="4">
        <v>132</v>
      </c>
      <c r="B134" s="7">
        <f t="shared" si="4"/>
        <v>0.59224999999999994</v>
      </c>
      <c r="C134" s="8">
        <v>3</v>
      </c>
      <c r="D134" s="8" t="s">
        <v>74</v>
      </c>
      <c r="E134" s="5" t="s">
        <v>73</v>
      </c>
      <c r="H134" s="5" t="s">
        <v>74</v>
      </c>
      <c r="I134" s="4">
        <v>0.59199999999999997</v>
      </c>
      <c r="J134" s="3" t="s">
        <v>75</v>
      </c>
      <c r="K134" s="5" t="s">
        <v>76</v>
      </c>
      <c r="L134" s="4">
        <v>0.59250000000000003</v>
      </c>
      <c r="M134" s="3" t="s">
        <v>80</v>
      </c>
      <c r="N134" s="6"/>
      <c r="P134">
        <v>41.920101000000003</v>
      </c>
      <c r="Q134">
        <v>-3.5196263999999999</v>
      </c>
      <c r="R134">
        <v>9.7579999999999991</v>
      </c>
      <c r="S134">
        <v>5.2999999999999999E-2</v>
      </c>
      <c r="T134" s="10">
        <v>-3.6566859521524761E-2</v>
      </c>
      <c r="U134" s="10">
        <v>-3.8399999999999997E-2</v>
      </c>
      <c r="V134" s="10">
        <v>-1.12E-2</v>
      </c>
      <c r="W134" s="10">
        <v>1.09E-2</v>
      </c>
      <c r="X134" s="10">
        <v>-3.8148468825979623E-2</v>
      </c>
      <c r="Y134" s="10">
        <v>-4.1500000000000002E-2</v>
      </c>
      <c r="Z134" s="10">
        <v>-1.24E-2</v>
      </c>
      <c r="AA134" s="10">
        <v>1.2500000000000001E-2</v>
      </c>
      <c r="AB134" s="10">
        <v>-0.73391970498611103</v>
      </c>
      <c r="AC134" s="10">
        <v>-0.6956</v>
      </c>
      <c r="AD134" s="10">
        <v>-8.4900000000000003E-2</v>
      </c>
      <c r="AE134" s="10">
        <v>8.14E-2</v>
      </c>
      <c r="AF134" s="10">
        <v>156.9906767869673</v>
      </c>
      <c r="AG134" s="10">
        <v>115.5027</v>
      </c>
      <c r="AH134" s="10">
        <v>-13.7645</v>
      </c>
      <c r="AI134" s="10">
        <v>17.044899999999998</v>
      </c>
      <c r="AJ134" s="10">
        <v>0.98334758143042766</v>
      </c>
      <c r="AK134" s="10">
        <v>0.96460000000000001</v>
      </c>
      <c r="AL134" s="10">
        <v>-1.35E-2</v>
      </c>
      <c r="AM134" s="10">
        <v>1.0800000000000001E-2</v>
      </c>
      <c r="AN134" s="10">
        <v>0.28326990545238928</v>
      </c>
      <c r="AO134" s="10">
        <v>0.28539999999999999</v>
      </c>
      <c r="AP134" s="10">
        <v>-4.1999999999999997E-3</v>
      </c>
      <c r="AQ134" s="10">
        <v>4.4999999999999997E-3</v>
      </c>
      <c r="AR134" s="10">
        <v>4.6793386974928639</v>
      </c>
      <c r="AS134" s="10">
        <v>4.6798000000000002</v>
      </c>
      <c r="AT134" s="10">
        <v>-3.2000000000000002E-3</v>
      </c>
      <c r="AU134" s="10">
        <v>3.3E-3</v>
      </c>
      <c r="AV134" s="10">
        <v>-0.29198593795992173</v>
      </c>
      <c r="AW134" s="10">
        <v>-0.28029999999999999</v>
      </c>
      <c r="AX134" s="10">
        <v>-1.11E-2</v>
      </c>
      <c r="AY134" s="10">
        <v>1.15E-2</v>
      </c>
      <c r="AZ134" s="10">
        <v>-4.1913443766034453E-2</v>
      </c>
      <c r="BA134" s="10">
        <v>-5.3999999999999999E-2</v>
      </c>
      <c r="BB134" s="10">
        <v>-2.5100000000000001E-2</v>
      </c>
      <c r="BC134" s="10">
        <v>2.4899999999999999E-2</v>
      </c>
      <c r="BD134" s="10">
        <v>1.342078267262879E-2</v>
      </c>
      <c r="BE134" s="10">
        <v>3.1099999999999999E-2</v>
      </c>
      <c r="BF134" s="10">
        <v>-1.6E-2</v>
      </c>
      <c r="BG134" s="10">
        <v>3.7999999999999999E-2</v>
      </c>
      <c r="BH134" s="13">
        <v>1186.15869140625</v>
      </c>
      <c r="BI134" s="11">
        <v>2.817479076974466</v>
      </c>
      <c r="BJ134" s="13">
        <v>2812.920535836151</v>
      </c>
      <c r="BK134" s="11">
        <v>0.53887366586899443</v>
      </c>
      <c r="BL134" s="13">
        <v>3999.079227242401</v>
      </c>
      <c r="BM134" s="11">
        <v>1.6781763714217299</v>
      </c>
    </row>
    <row r="135" spans="1:65" ht="27" customHeight="1">
      <c r="A135" s="4">
        <v>133</v>
      </c>
      <c r="B135" s="7">
        <f t="shared" si="4"/>
        <v>0.86150000000000004</v>
      </c>
      <c r="C135" s="8">
        <v>2</v>
      </c>
      <c r="D135" s="8" t="s">
        <v>79</v>
      </c>
      <c r="E135" s="5" t="s">
        <v>76</v>
      </c>
      <c r="F135" s="4">
        <v>0.86150000000000004</v>
      </c>
      <c r="G135" s="3" t="s">
        <v>75</v>
      </c>
      <c r="H135" s="5" t="s">
        <v>76</v>
      </c>
      <c r="I135" s="4">
        <v>0.86150000000000004</v>
      </c>
      <c r="J135" s="3" t="s">
        <v>75</v>
      </c>
      <c r="K135" s="5" t="s">
        <v>74</v>
      </c>
      <c r="L135" s="4">
        <v>0.86150000000000004</v>
      </c>
      <c r="M135" s="3" t="s">
        <v>75</v>
      </c>
      <c r="N135" s="6"/>
      <c r="O135" s="3" t="s">
        <v>80</v>
      </c>
      <c r="P135">
        <v>41.976520000000001</v>
      </c>
      <c r="Q135">
        <v>-3.5486703999999998</v>
      </c>
      <c r="R135">
        <v>9.9610000000000003</v>
      </c>
      <c r="S135">
        <v>7.5999999999999998E-2</v>
      </c>
      <c r="T135" s="10">
        <v>-0.14663669727661499</v>
      </c>
      <c r="U135" s="10">
        <v>-0.1323</v>
      </c>
      <c r="V135" s="10">
        <v>-1.2999999999999999E-2</v>
      </c>
      <c r="W135" s="10">
        <v>2.9700000000000001E-2</v>
      </c>
      <c r="X135" s="10">
        <v>-0.14859533791441021</v>
      </c>
      <c r="Y135" s="10">
        <v>-0.1231</v>
      </c>
      <c r="Z135" s="10">
        <v>-1.9300000000000001E-2</v>
      </c>
      <c r="AA135" s="10">
        <v>3.8800000000000001E-2</v>
      </c>
      <c r="AB135" s="10">
        <v>2.393249784963364</v>
      </c>
      <c r="AC135" s="10">
        <v>2.3632</v>
      </c>
      <c r="AD135" s="10">
        <v>-3.0926</v>
      </c>
      <c r="AE135" s="10">
        <v>3.1899999999999998E-2</v>
      </c>
      <c r="AF135" s="10">
        <v>159.06856523811771</v>
      </c>
      <c r="AG135" s="10">
        <v>156.80199999999999</v>
      </c>
      <c r="AH135" s="10">
        <v>-17.410299999999999</v>
      </c>
      <c r="AI135" s="10">
        <v>15.435499999999999</v>
      </c>
      <c r="AJ135" s="10">
        <v>0.48058001695122032</v>
      </c>
      <c r="AK135" s="10">
        <v>0.4456</v>
      </c>
      <c r="AL135" s="10">
        <v>-3.78E-2</v>
      </c>
      <c r="AM135" s="10">
        <v>2.5100000000000001E-2</v>
      </c>
      <c r="AN135" s="10">
        <v>1.023734681543794</v>
      </c>
      <c r="AO135" s="10">
        <v>1.0457000000000001</v>
      </c>
      <c r="AP135" s="10">
        <v>-2.6800000000000001E-2</v>
      </c>
      <c r="AQ135" s="10">
        <v>4.2299999999999997E-2</v>
      </c>
      <c r="AR135" s="10">
        <v>4.7797684423768443</v>
      </c>
      <c r="AS135" s="10">
        <v>4.7770000000000001</v>
      </c>
      <c r="AT135" s="10">
        <v>-5.8999999999999999E-3</v>
      </c>
      <c r="AU135" s="10">
        <v>6.1000000000000004E-3</v>
      </c>
      <c r="AV135" s="10">
        <v>0.2691664045470219</v>
      </c>
      <c r="AW135" s="10">
        <v>0.26390000000000002</v>
      </c>
      <c r="AX135" s="10">
        <v>-0.505</v>
      </c>
      <c r="AY135" s="10">
        <v>1.41E-2</v>
      </c>
      <c r="AZ135" s="10">
        <v>4.0609047847425923E-2</v>
      </c>
      <c r="BA135" s="10">
        <v>3.5700000000000003E-2</v>
      </c>
      <c r="BB135" s="10">
        <v>-5.0200000000000002E-2</v>
      </c>
      <c r="BC135" s="10">
        <v>8.2000000000000007E-3</v>
      </c>
      <c r="BD135" s="10">
        <v>7.5738551627319739E-2</v>
      </c>
      <c r="BE135" s="10">
        <v>0.10489999999999999</v>
      </c>
      <c r="BF135" s="10">
        <v>-6.8599999999999994E-2</v>
      </c>
      <c r="BG135" s="10">
        <v>0.88649999999999995</v>
      </c>
      <c r="BH135" s="13">
        <v>1851.240234375</v>
      </c>
      <c r="BI135" s="11">
        <v>4.3152453015734267</v>
      </c>
      <c r="BJ135" s="13">
        <v>1317.669644038705</v>
      </c>
      <c r="BK135" s="11">
        <v>0.74697825625776904</v>
      </c>
      <c r="BL135" s="13">
        <v>3168.909878413705</v>
      </c>
      <c r="BM135" s="11">
        <v>2.5311117789155979</v>
      </c>
    </row>
    <row r="136" spans="1:65" ht="27" customHeight="1">
      <c r="A136" s="4">
        <v>134</v>
      </c>
      <c r="B136" s="7" t="str">
        <f t="shared" si="4"/>
        <v/>
      </c>
      <c r="C136" s="8"/>
      <c r="D136" s="8" t="s">
        <v>72</v>
      </c>
      <c r="E136" s="5" t="s">
        <v>73</v>
      </c>
      <c r="H136" s="5" t="s">
        <v>73</v>
      </c>
      <c r="I136" s="4"/>
      <c r="K136" s="5" t="s">
        <v>73</v>
      </c>
      <c r="N136" s="6"/>
      <c r="P136">
        <v>41.918216000000001</v>
      </c>
      <c r="Q136">
        <v>-3.5249573000000001</v>
      </c>
    </row>
    <row r="137" spans="1:65" ht="27" customHeight="1">
      <c r="A137" s="4">
        <v>135</v>
      </c>
      <c r="B137" s="7">
        <f t="shared" si="4"/>
        <v>0.62224999999999997</v>
      </c>
      <c r="C137" s="8">
        <v>3</v>
      </c>
      <c r="D137" s="8" t="s">
        <v>74</v>
      </c>
      <c r="E137" s="5" t="s">
        <v>74</v>
      </c>
      <c r="F137" s="4">
        <v>0.62250000000000005</v>
      </c>
      <c r="G137" s="3" t="s">
        <v>89</v>
      </c>
      <c r="H137" s="5" t="s">
        <v>76</v>
      </c>
      <c r="I137" s="4">
        <v>0.622</v>
      </c>
      <c r="J137" s="3" t="s">
        <v>80</v>
      </c>
      <c r="K137" s="5" t="s">
        <v>73</v>
      </c>
      <c r="N137" s="6"/>
      <c r="P137">
        <v>41.927300000000002</v>
      </c>
      <c r="Q137">
        <v>-3.5324781000000001</v>
      </c>
      <c r="R137">
        <v>9.7330000000000005</v>
      </c>
      <c r="S137">
        <v>6.3E-2</v>
      </c>
      <c r="T137" s="10">
        <v>-0.10512453151029511</v>
      </c>
      <c r="U137" s="10">
        <v>-8.3099999999999993E-2</v>
      </c>
      <c r="V137" s="10">
        <v>-2.1000000000000001E-2</v>
      </c>
      <c r="W137" s="10">
        <v>2.4899999999999999E-2</v>
      </c>
      <c r="X137" s="10">
        <v>8.6986148510026728E-2</v>
      </c>
      <c r="Y137" s="10">
        <v>0.1215</v>
      </c>
      <c r="Z137" s="10">
        <v>-2.6499999999999999E-2</v>
      </c>
      <c r="AA137" s="10">
        <v>1.9300000000000001E-2</v>
      </c>
      <c r="AB137" s="10">
        <v>2.075835000122225</v>
      </c>
      <c r="AC137" s="10">
        <v>2.0897999999999999</v>
      </c>
      <c r="AD137" s="10">
        <v>-5.3699999999999998E-2</v>
      </c>
      <c r="AE137" s="10">
        <v>5.9299999999999999E-2</v>
      </c>
      <c r="AF137" s="10">
        <v>142.75997425882471</v>
      </c>
      <c r="AG137" s="10">
        <v>130.00290000000001</v>
      </c>
      <c r="AH137" s="10">
        <v>-9.8907000000000007</v>
      </c>
      <c r="AI137" s="10">
        <v>11.78</v>
      </c>
      <c r="AJ137" s="10">
        <v>0.80855411518858677</v>
      </c>
      <c r="AK137" s="10">
        <v>0.73980000000000001</v>
      </c>
      <c r="AL137" s="10">
        <v>-3.8199999999999998E-2</v>
      </c>
      <c r="AM137" s="10">
        <v>4.7500000000000001E-2</v>
      </c>
      <c r="AN137" s="10">
        <v>0.78100172895290809</v>
      </c>
      <c r="AO137" s="10">
        <v>0.80869999999999997</v>
      </c>
      <c r="AP137" s="10">
        <v>-2.4899999999999999E-2</v>
      </c>
      <c r="AQ137" s="10">
        <v>2.2599999999999999E-2</v>
      </c>
      <c r="AR137" s="10">
        <v>4.7545769812397172</v>
      </c>
      <c r="AS137" s="10">
        <v>4.7527999999999997</v>
      </c>
      <c r="AT137" s="10">
        <v>-4.3E-3</v>
      </c>
      <c r="AU137" s="10">
        <v>4.1999999999999997E-3</v>
      </c>
      <c r="AV137" s="10">
        <v>0.1812676707460035</v>
      </c>
      <c r="AW137" s="10">
        <v>0.1794</v>
      </c>
      <c r="AX137" s="10">
        <v>-1.1299999999999999E-2</v>
      </c>
      <c r="AY137" s="10">
        <v>1.0800000000000001E-2</v>
      </c>
      <c r="AZ137" s="10">
        <v>0.10979864315868371</v>
      </c>
      <c r="BA137" s="10">
        <v>0.10440000000000001</v>
      </c>
      <c r="BB137" s="10">
        <v>-1.2200000000000001E-2</v>
      </c>
      <c r="BC137" s="10">
        <v>1.2699999999999999E-2</v>
      </c>
      <c r="BD137" s="10">
        <v>2.314260758068162E-2</v>
      </c>
      <c r="BE137" s="10">
        <v>4.2000000000000003E-2</v>
      </c>
      <c r="BF137" s="10">
        <v>-2.2599999999999999E-2</v>
      </c>
      <c r="BG137" s="10">
        <v>3.2199999999999999E-2</v>
      </c>
      <c r="BH137" s="13">
        <v>876.79248046875</v>
      </c>
      <c r="BI137" s="11">
        <v>2.0630411305147058</v>
      </c>
      <c r="BJ137" s="13">
        <v>1884.7325688172521</v>
      </c>
      <c r="BK137" s="11">
        <v>0.53788029931999193</v>
      </c>
      <c r="BL137" s="13">
        <v>2761.5250492860018</v>
      </c>
      <c r="BM137" s="11">
        <v>1.300460714917349</v>
      </c>
    </row>
    <row r="138" spans="1:65" ht="27" customHeight="1">
      <c r="A138" s="4">
        <v>136</v>
      </c>
      <c r="B138" s="7">
        <f t="shared" si="4"/>
        <v>0.5056666666666666</v>
      </c>
      <c r="C138" s="8">
        <v>3</v>
      </c>
      <c r="D138" s="8" t="s">
        <v>74</v>
      </c>
      <c r="E138" s="5" t="s">
        <v>74</v>
      </c>
      <c r="F138" s="4">
        <v>0.50600000000000001</v>
      </c>
      <c r="G138" s="3" t="s">
        <v>89</v>
      </c>
      <c r="H138" s="5" t="s">
        <v>74</v>
      </c>
      <c r="I138" s="4">
        <v>0.505</v>
      </c>
      <c r="J138" s="3" t="s">
        <v>75</v>
      </c>
      <c r="K138" s="5" t="s">
        <v>74</v>
      </c>
      <c r="L138" s="4">
        <v>0.50600000000000001</v>
      </c>
      <c r="M138" s="3" t="s">
        <v>89</v>
      </c>
      <c r="N138" s="6"/>
      <c r="O138" s="3" t="s">
        <v>78</v>
      </c>
      <c r="P138">
        <v>41.947358000000001</v>
      </c>
      <c r="Q138">
        <v>-3.5452056000000001</v>
      </c>
      <c r="R138">
        <v>9.3420000000000005</v>
      </c>
      <c r="S138">
        <v>8.6999999999999994E-2</v>
      </c>
      <c r="T138" s="10">
        <v>0.13425394471787361</v>
      </c>
      <c r="U138" s="10">
        <v>0.1331</v>
      </c>
      <c r="V138" s="10">
        <v>-4.36E-2</v>
      </c>
      <c r="W138" s="10">
        <v>1.2699999999999999E-2</v>
      </c>
      <c r="X138" s="10">
        <v>1.6794245229069551E-2</v>
      </c>
      <c r="Y138" s="10">
        <v>3.7000000000000002E-3</v>
      </c>
      <c r="Z138" s="10">
        <v>-1.6E-2</v>
      </c>
      <c r="AA138" s="10">
        <v>1.8100000000000002E-2</v>
      </c>
      <c r="AB138" s="10">
        <v>-0.2253728957362853</v>
      </c>
      <c r="AC138" s="10">
        <v>-0.1736</v>
      </c>
      <c r="AD138" s="10">
        <v>-7.1800000000000003E-2</v>
      </c>
      <c r="AE138" s="10">
        <v>9.2600000000000002E-2</v>
      </c>
      <c r="AF138" s="10">
        <v>62.236493036092583</v>
      </c>
      <c r="AG138" s="10">
        <v>85.7928</v>
      </c>
      <c r="AH138" s="10">
        <v>-11.126899999999999</v>
      </c>
      <c r="AI138" s="10">
        <v>14.3474</v>
      </c>
      <c r="AJ138" s="10">
        <v>0.85315622122503454</v>
      </c>
      <c r="AK138" s="10">
        <v>0.87180000000000002</v>
      </c>
      <c r="AL138" s="10">
        <v>-8.2600000000000007E-2</v>
      </c>
      <c r="AM138" s="10">
        <v>4.1099999999999998E-2</v>
      </c>
      <c r="AN138" s="10">
        <v>0.28676512361589612</v>
      </c>
      <c r="AO138" s="10">
        <v>0.28639999999999999</v>
      </c>
      <c r="AP138" s="10">
        <v>-7.1999999999999998E-3</v>
      </c>
      <c r="AQ138" s="10">
        <v>1.35E-2</v>
      </c>
      <c r="AR138" s="10">
        <v>4.5885311084812566</v>
      </c>
      <c r="AS138" s="10">
        <v>4.5895000000000001</v>
      </c>
      <c r="AT138" s="10">
        <v>-3.3999999999999998E-3</v>
      </c>
      <c r="AU138" s="10">
        <v>3.3999999999999998E-3</v>
      </c>
      <c r="AV138" s="10">
        <v>-0.62606667282232409</v>
      </c>
      <c r="AW138" s="10">
        <v>-0.60980000000000001</v>
      </c>
      <c r="AX138" s="10">
        <v>-2.58E-2</v>
      </c>
      <c r="AY138" s="10">
        <v>3.09E-2</v>
      </c>
      <c r="AZ138" s="10">
        <v>-0.24512669862104161</v>
      </c>
      <c r="BA138" s="10">
        <v>-0.26150000000000001</v>
      </c>
      <c r="BB138" s="10">
        <v>-4.41E-2</v>
      </c>
      <c r="BC138" s="10">
        <v>4.2099999999999999E-2</v>
      </c>
      <c r="BD138" s="10">
        <v>2.0012154127887111E-2</v>
      </c>
      <c r="BE138" s="10">
        <v>0.22170000000000001</v>
      </c>
      <c r="BF138" s="10">
        <v>-0.15329999999999999</v>
      </c>
      <c r="BG138" s="10">
        <v>0.76549999999999996</v>
      </c>
      <c r="BH138" s="13">
        <v>1710.153564453125</v>
      </c>
      <c r="BI138" s="11">
        <v>3.9863719451121788</v>
      </c>
      <c r="BJ138" s="13">
        <v>1240.720092770878</v>
      </c>
      <c r="BK138" s="11">
        <v>0.70335606166149578</v>
      </c>
      <c r="BL138" s="13">
        <v>2950.8736572240032</v>
      </c>
      <c r="BM138" s="11">
        <v>2.3448640033868382</v>
      </c>
    </row>
    <row r="139" spans="1:65" ht="27" customHeight="1">
      <c r="A139" s="4">
        <v>137</v>
      </c>
      <c r="B139" s="7" t="str">
        <f t="shared" si="4"/>
        <v/>
      </c>
      <c r="C139" s="8"/>
      <c r="D139" s="8" t="s">
        <v>72</v>
      </c>
      <c r="E139" s="5" t="s">
        <v>73</v>
      </c>
      <c r="H139" s="5" t="s">
        <v>73</v>
      </c>
      <c r="I139" s="4"/>
      <c r="K139" s="5" t="s">
        <v>73</v>
      </c>
      <c r="N139" s="6"/>
      <c r="P139">
        <v>41.921956000000002</v>
      </c>
      <c r="Q139">
        <v>-3.5387635999999998</v>
      </c>
    </row>
    <row r="140" spans="1:65" ht="27" customHeight="1">
      <c r="A140" s="4">
        <v>138</v>
      </c>
      <c r="B140" s="7">
        <f t="shared" si="4"/>
        <v>0.62000000000000011</v>
      </c>
      <c r="C140" s="8">
        <v>3</v>
      </c>
      <c r="D140" s="8" t="s">
        <v>74</v>
      </c>
      <c r="E140" s="5" t="s">
        <v>74</v>
      </c>
      <c r="F140" s="4">
        <v>0.61950000000000005</v>
      </c>
      <c r="G140" s="3" t="s">
        <v>75</v>
      </c>
      <c r="H140" s="5" t="s">
        <v>74</v>
      </c>
      <c r="I140" s="4">
        <v>0.62</v>
      </c>
      <c r="J140" s="3" t="s">
        <v>75</v>
      </c>
      <c r="K140" s="5" t="s">
        <v>74</v>
      </c>
      <c r="L140" s="4">
        <v>0.62050000000000005</v>
      </c>
      <c r="M140" s="3" t="s">
        <v>77</v>
      </c>
      <c r="N140" s="6"/>
      <c r="O140" s="3" t="s">
        <v>78</v>
      </c>
      <c r="P140">
        <v>41.875352999999997</v>
      </c>
      <c r="Q140">
        <v>-3.5202667999999999</v>
      </c>
      <c r="R140">
        <v>9.2579999999999991</v>
      </c>
      <c r="S140">
        <v>0.11899999999999999</v>
      </c>
      <c r="T140" s="10">
        <v>0.11864406376248</v>
      </c>
      <c r="U140" s="10">
        <v>9.98E-2</v>
      </c>
      <c r="V140" s="10">
        <v>-5.0200000000000002E-2</v>
      </c>
      <c r="W140" s="10">
        <v>3.4200000000000001E-2</v>
      </c>
      <c r="X140" s="10">
        <v>8.2402243872722908E-2</v>
      </c>
      <c r="Y140" s="10">
        <v>0.111</v>
      </c>
      <c r="Z140" s="10">
        <v>-2.2800000000000001E-2</v>
      </c>
      <c r="AA140" s="10">
        <v>2.1700000000000001E-2</v>
      </c>
      <c r="AB140" s="10">
        <v>-0.15275904969553489</v>
      </c>
      <c r="AC140" s="10">
        <v>-0.1774</v>
      </c>
      <c r="AD140" s="10">
        <v>-2.7300000000000001E-2</v>
      </c>
      <c r="AE140" s="10">
        <v>2.8199999999999999E-2</v>
      </c>
      <c r="AF140" s="10">
        <v>222.33525255228651</v>
      </c>
      <c r="AG140" s="10">
        <v>164.29</v>
      </c>
      <c r="AH140" s="10">
        <v>-10.6388</v>
      </c>
      <c r="AI140" s="10">
        <v>10.9217</v>
      </c>
      <c r="AJ140" s="10">
        <v>0.43251220486049258</v>
      </c>
      <c r="AK140" s="10">
        <v>0.41860000000000003</v>
      </c>
      <c r="AL140" s="10">
        <v>-4.4999999999999998E-2</v>
      </c>
      <c r="AM140" s="10">
        <v>3.3300000000000003E-2</v>
      </c>
      <c r="AN140" s="10">
        <v>0.88754617213030618</v>
      </c>
      <c r="AO140" s="10">
        <v>0.90680000000000005</v>
      </c>
      <c r="AP140" s="10">
        <v>-3.3799999999999997E-2</v>
      </c>
      <c r="AQ140" s="10">
        <v>4.6600000000000003E-2</v>
      </c>
      <c r="AR140" s="10">
        <v>4.4597268407760362</v>
      </c>
      <c r="AS140" s="10">
        <v>4.4644000000000004</v>
      </c>
      <c r="AT140" s="10">
        <v>-5.8999999999999999E-3</v>
      </c>
      <c r="AU140" s="10">
        <v>5.7000000000000002E-3</v>
      </c>
      <c r="AV140" s="10">
        <v>-0.16678175181264471</v>
      </c>
      <c r="AW140" s="10">
        <v>-0.17169999999999999</v>
      </c>
      <c r="AX140" s="10">
        <v>-1.12E-2</v>
      </c>
      <c r="AY140" s="10">
        <v>1.15E-2</v>
      </c>
      <c r="AZ140" s="10">
        <v>-0.1019169143157619</v>
      </c>
      <c r="BA140" s="10">
        <v>-9.9299999999999999E-2</v>
      </c>
      <c r="BB140" s="10">
        <v>-9.4999999999999998E-3</v>
      </c>
      <c r="BC140" s="10">
        <v>1.03E-2</v>
      </c>
      <c r="BD140" s="10">
        <v>1.096779116471595</v>
      </c>
      <c r="BE140" s="10">
        <v>0.66279999999999994</v>
      </c>
      <c r="BF140" s="10">
        <v>-0.10290000000000001</v>
      </c>
      <c r="BG140" s="10">
        <v>0.1047</v>
      </c>
      <c r="BH140" s="13">
        <v>1047.591552734375</v>
      </c>
      <c r="BI140" s="11">
        <v>2.4419383513621788</v>
      </c>
      <c r="BJ140" s="13">
        <v>1017.599633891189</v>
      </c>
      <c r="BK140" s="11">
        <v>0.57687054075464228</v>
      </c>
      <c r="BL140" s="13">
        <v>2065.1911866255641</v>
      </c>
      <c r="BM140" s="11">
        <v>1.5094044460584111</v>
      </c>
    </row>
    <row r="141" spans="1:65" ht="27" customHeight="1">
      <c r="A141" s="4">
        <v>139</v>
      </c>
      <c r="B141" s="7">
        <f t="shared" si="4"/>
        <v>0.76516666666666666</v>
      </c>
      <c r="C141" s="8">
        <v>3</v>
      </c>
      <c r="D141" s="8" t="s">
        <v>74</v>
      </c>
      <c r="E141" s="5" t="s">
        <v>76</v>
      </c>
      <c r="F141" s="4">
        <v>0.76449999999999996</v>
      </c>
      <c r="G141" s="3" t="s">
        <v>75</v>
      </c>
      <c r="H141" s="5" t="s">
        <v>74</v>
      </c>
      <c r="I141" s="4">
        <v>0.76500000000000001</v>
      </c>
      <c r="J141" s="3" t="s">
        <v>75</v>
      </c>
      <c r="K141" s="5" t="s">
        <v>74</v>
      </c>
      <c r="L141" s="4">
        <v>0.76600000000000001</v>
      </c>
      <c r="M141" s="3" t="s">
        <v>80</v>
      </c>
      <c r="N141" s="6"/>
      <c r="O141" s="3" t="s">
        <v>86</v>
      </c>
      <c r="P141">
        <v>41.932597999999999</v>
      </c>
      <c r="Q141">
        <v>-3.5497616999999999</v>
      </c>
      <c r="R141">
        <v>10.01</v>
      </c>
      <c r="S141">
        <v>7.3999999999999996E-2</v>
      </c>
      <c r="T141" s="10">
        <v>-0.14388889017461171</v>
      </c>
      <c r="U141" s="10">
        <v>-0.1376</v>
      </c>
      <c r="V141" s="10">
        <v>-9.4000000000000004E-3</v>
      </c>
      <c r="W141" s="10">
        <v>2.07E-2</v>
      </c>
      <c r="X141" s="10">
        <v>3.4363132524774802E-3</v>
      </c>
      <c r="Y141" s="10">
        <v>1.17E-2</v>
      </c>
      <c r="Z141" s="10">
        <v>-1.6799999999999999E-2</v>
      </c>
      <c r="AA141" s="10">
        <v>1.6199999999999999E-2</v>
      </c>
      <c r="AB141" s="10">
        <v>0.12557626866408</v>
      </c>
      <c r="AC141" s="10">
        <v>0.1176</v>
      </c>
      <c r="AD141" s="10">
        <v>-1.95E-2</v>
      </c>
      <c r="AE141" s="10">
        <v>1.9E-2</v>
      </c>
      <c r="AF141" s="10">
        <v>345.22347258671641</v>
      </c>
      <c r="AG141" s="10">
        <v>282.64159999999998</v>
      </c>
      <c r="AH141" s="10">
        <v>-17.3078</v>
      </c>
      <c r="AI141" s="10">
        <v>16.753399999999999</v>
      </c>
      <c r="AJ141" s="10">
        <v>0.36142629148088379</v>
      </c>
      <c r="AK141" s="10">
        <v>0.37440000000000001</v>
      </c>
      <c r="AL141" s="10">
        <v>-1.2999999999999999E-2</v>
      </c>
      <c r="AM141" s="10">
        <v>1.8599999999999998E-2</v>
      </c>
      <c r="AN141" s="10">
        <v>1.1324849156233521</v>
      </c>
      <c r="AO141" s="10">
        <v>1.1183000000000001</v>
      </c>
      <c r="AP141" s="10">
        <v>-2.4299999999999999E-2</v>
      </c>
      <c r="AQ141" s="10">
        <v>2.06E-2</v>
      </c>
      <c r="AR141" s="10">
        <v>4.7785857883761036</v>
      </c>
      <c r="AS141" s="10">
        <v>4.7797999999999998</v>
      </c>
      <c r="AT141" s="10">
        <v>-4.1999999999999997E-3</v>
      </c>
      <c r="AU141" s="10">
        <v>4.3E-3</v>
      </c>
      <c r="AV141" s="10">
        <v>-8.3880574939638297E-2</v>
      </c>
      <c r="AW141" s="10">
        <v>-8.4500000000000006E-2</v>
      </c>
      <c r="AX141" s="10">
        <v>-8.0999999999999996E-3</v>
      </c>
      <c r="AY141" s="10">
        <v>8.3999999999999995E-3</v>
      </c>
      <c r="AZ141" s="10">
        <v>-8.3349476022647639E-2</v>
      </c>
      <c r="BA141" s="10">
        <v>-8.3099999999999993E-2</v>
      </c>
      <c r="BB141" s="10">
        <v>-5.0000000000000001E-3</v>
      </c>
      <c r="BC141" s="10">
        <v>4.1999999999999997E-3</v>
      </c>
      <c r="BD141" s="10">
        <v>1.8272978690123789</v>
      </c>
      <c r="BE141" s="10">
        <v>1.3714</v>
      </c>
      <c r="BF141" s="10">
        <v>-0.12870000000000001</v>
      </c>
      <c r="BG141" s="10">
        <v>0.12189999999999999</v>
      </c>
      <c r="BH141" s="13">
        <v>870.54290771484375</v>
      </c>
      <c r="BI141" s="11">
        <v>2.0483362534466911</v>
      </c>
      <c r="BJ141" s="13">
        <v>2676.327293221012</v>
      </c>
      <c r="BK141" s="11">
        <v>0.76379203573659016</v>
      </c>
      <c r="BL141" s="13">
        <v>3546.8702009358549</v>
      </c>
      <c r="BM141" s="11">
        <v>1.4060641445916411</v>
      </c>
    </row>
    <row r="142" spans="1:65" ht="27" customHeight="1">
      <c r="A142" s="4">
        <v>140</v>
      </c>
      <c r="B142" s="7" t="str">
        <f t="shared" si="4"/>
        <v/>
      </c>
      <c r="C142" s="8"/>
      <c r="D142" s="8" t="s">
        <v>83</v>
      </c>
      <c r="E142" s="5" t="s">
        <v>84</v>
      </c>
      <c r="H142" s="5" t="s">
        <v>84</v>
      </c>
      <c r="I142" s="4"/>
      <c r="K142" s="5" t="s">
        <v>84</v>
      </c>
      <c r="N142" s="6"/>
      <c r="P142">
        <v>41.934358000000003</v>
      </c>
      <c r="Q142">
        <v>-3.5550568</v>
      </c>
    </row>
    <row r="143" spans="1:65" ht="27" customHeight="1">
      <c r="A143" s="4">
        <v>141</v>
      </c>
      <c r="B143" s="7">
        <f t="shared" si="4"/>
        <v>0.62</v>
      </c>
      <c r="C143" s="8">
        <v>3</v>
      </c>
      <c r="D143" s="8" t="s">
        <v>79</v>
      </c>
      <c r="E143" s="5" t="s">
        <v>73</v>
      </c>
      <c r="H143" s="5" t="s">
        <v>76</v>
      </c>
      <c r="I143" s="4">
        <v>0.62</v>
      </c>
      <c r="J143" s="3" t="s">
        <v>89</v>
      </c>
      <c r="K143" s="5" t="s">
        <v>76</v>
      </c>
      <c r="L143" s="4">
        <v>0.62</v>
      </c>
      <c r="M143" s="3" t="s">
        <v>80</v>
      </c>
      <c r="N143" s="6"/>
      <c r="P143">
        <v>41.892299999999999</v>
      </c>
      <c r="Q143">
        <v>-3.5398469000000001</v>
      </c>
      <c r="R143">
        <v>9.9149999999999991</v>
      </c>
      <c r="S143">
        <v>2.5999999999999999E-2</v>
      </c>
      <c r="T143" s="10">
        <v>-4.7469790618203458E-2</v>
      </c>
      <c r="U143" s="10">
        <v>-6.5600000000000006E-2</v>
      </c>
      <c r="V143" s="10">
        <v>-2.7300000000000001E-2</v>
      </c>
      <c r="W143" s="10">
        <v>1.7299999999999999E-2</v>
      </c>
      <c r="X143" s="10">
        <v>1.1701788416616321E-2</v>
      </c>
      <c r="Y143" s="10">
        <v>1.1900000000000001E-2</v>
      </c>
      <c r="Z143" s="10">
        <v>-1.0800000000000001E-2</v>
      </c>
      <c r="AA143" s="10">
        <v>1.44E-2</v>
      </c>
      <c r="AB143" s="10">
        <v>-0.18617540084182729</v>
      </c>
      <c r="AC143" s="10">
        <v>-0.14829999999999999</v>
      </c>
      <c r="AD143" s="10">
        <v>-8.5999999999999993E-2</v>
      </c>
      <c r="AE143" s="10">
        <v>8.3299999999999999E-2</v>
      </c>
      <c r="AF143" s="10">
        <v>133.01107400465941</v>
      </c>
      <c r="AG143" s="10">
        <v>123.4028</v>
      </c>
      <c r="AH143" s="10">
        <v>-14.0206</v>
      </c>
      <c r="AI143" s="10">
        <v>16.472000000000001</v>
      </c>
      <c r="AJ143" s="10">
        <v>0.92772747935707411</v>
      </c>
      <c r="AK143" s="10">
        <v>0.89429999999999998</v>
      </c>
      <c r="AL143" s="10">
        <v>-5.1799999999999999E-2</v>
      </c>
      <c r="AM143" s="10">
        <v>3.27E-2</v>
      </c>
      <c r="AN143" s="10">
        <v>0.54747451644795109</v>
      </c>
      <c r="AO143" s="10">
        <v>0.55779999999999996</v>
      </c>
      <c r="AP143" s="10">
        <v>-1.06E-2</v>
      </c>
      <c r="AQ143" s="10">
        <v>1.6299999999999999E-2</v>
      </c>
      <c r="AR143" s="10">
        <v>4.8752694292372887</v>
      </c>
      <c r="AS143" s="10">
        <v>4.8746999999999998</v>
      </c>
      <c r="AT143" s="10">
        <v>-2.5000000000000001E-3</v>
      </c>
      <c r="AU143" s="10">
        <v>2.5999999999999999E-3</v>
      </c>
      <c r="AV143" s="10">
        <v>-0.3958031896168821</v>
      </c>
      <c r="AW143" s="10">
        <v>-0.37680000000000002</v>
      </c>
      <c r="AX143" s="10">
        <v>-3.1699999999999999E-2</v>
      </c>
      <c r="AY143" s="10">
        <v>3.5499999999999997E-2</v>
      </c>
      <c r="AZ143" s="10">
        <v>-0.35272999920960052</v>
      </c>
      <c r="BA143" s="10">
        <v>-0.3498</v>
      </c>
      <c r="BB143" s="10">
        <v>-3.3399999999999999E-2</v>
      </c>
      <c r="BC143" s="10">
        <v>3.3700000000000001E-2</v>
      </c>
      <c r="BD143" s="10">
        <v>1.6696355206224939E-2</v>
      </c>
      <c r="BE143" s="10">
        <v>6.2399999999999997E-2</v>
      </c>
      <c r="BF143" s="10">
        <v>-3.7900000000000003E-2</v>
      </c>
      <c r="BG143" s="10">
        <v>7.3599999999999999E-2</v>
      </c>
      <c r="BH143" s="13">
        <v>869.78900146484375</v>
      </c>
      <c r="BI143" s="11">
        <v>2.046562356387867</v>
      </c>
      <c r="BJ143" s="13">
        <v>2455.0497561837351</v>
      </c>
      <c r="BK143" s="11">
        <v>0.70064205370540378</v>
      </c>
      <c r="BL143" s="13">
        <v>3324.8387576485788</v>
      </c>
      <c r="BM143" s="11">
        <v>1.3736022050466361</v>
      </c>
    </row>
    <row r="144" spans="1:65" ht="27" customHeight="1">
      <c r="A144" s="4">
        <v>142</v>
      </c>
      <c r="B144" s="7" t="str">
        <f t="shared" si="4"/>
        <v/>
      </c>
      <c r="C144" s="8"/>
      <c r="D144" s="8" t="s">
        <v>70</v>
      </c>
      <c r="E144" s="5" t="s">
        <v>71</v>
      </c>
      <c r="H144" s="5" t="s">
        <v>71</v>
      </c>
      <c r="I144" s="4"/>
      <c r="K144" s="5" t="s">
        <v>71</v>
      </c>
      <c r="N144" s="6"/>
      <c r="P144">
        <v>41.937260999999999</v>
      </c>
      <c r="Q144">
        <v>-3.5681354999999999</v>
      </c>
    </row>
  </sheetData>
  <conditionalFormatting sqref="B3:C144">
    <cfRule type="containsBlanks" dxfId="5" priority="8">
      <formula>LEN(TRIM(B3))=0</formula>
    </cfRule>
  </conditionalFormatting>
  <conditionalFormatting sqref="D3:D144">
    <cfRule type="expression" dxfId="4" priority="1">
      <formula>OR(D3="C", D3="D", D3="E", D3="F")</formula>
    </cfRule>
  </conditionalFormatting>
  <conditionalFormatting sqref="E3:M144">
    <cfRule type="cellIs" dxfId="3" priority="4" operator="equal">
      <formula>"C (cs)"</formula>
    </cfRule>
    <cfRule type="cellIs" dxfId="2" priority="5" operator="equal">
      <formula>"D (gc)"</formula>
    </cfRule>
    <cfRule type="cellIs" dxfId="1" priority="6" operator="equal">
      <formula>"E (fc)"</formula>
    </cfRule>
    <cfRule type="cellIs" dxfId="0" priority="7" operator="equal">
      <formula>"F (ns)"</formula>
    </cfRule>
  </conditionalFormatting>
  <pageMargins left="0.7" right="0.7" top="0.75" bottom="0.75" header="0.3" footer="0.3"/>
  <pageSetup orientation="portrait" horizontalDpi="1200" verticalDpi="12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D1" sqref="D1"/>
    </sheetView>
  </sheetViews>
  <sheetFormatPr defaultColWidth="8.765625" defaultRowHeight="18"/>
  <cols>
    <col min="1" max="1" width="6.3828125" style="1" bestFit="1" customWidth="1"/>
    <col min="2" max="2" width="8.3828125" style="1" bestFit="1" customWidth="1"/>
    <col min="3" max="3" width="8.765625" style="1" customWidth="1"/>
    <col min="4" max="4" width="12.921875" style="1" bestFit="1" customWidth="1"/>
    <col min="5" max="5" width="8.765625" style="1" customWidth="1"/>
    <col min="6" max="16384" width="8.765625" style="1"/>
  </cols>
  <sheetData>
    <row r="1" spans="1:5">
      <c r="A1" s="2" t="s">
        <v>7</v>
      </c>
      <c r="B1" s="2" t="s">
        <v>117</v>
      </c>
      <c r="D1" s="2" t="s">
        <v>8</v>
      </c>
      <c r="E1" s="2" t="s">
        <v>117</v>
      </c>
    </row>
    <row r="2" spans="1:5">
      <c r="A2" s="2">
        <v>1</v>
      </c>
      <c r="B2" s="2">
        <f>COUNTIF(redshift_table!C3:C144, "")</f>
        <v>36</v>
      </c>
      <c r="D2" s="2" t="s">
        <v>74</v>
      </c>
      <c r="E2" s="2">
        <f>COUNTIF(redshift_table!D3:D144, "A")</f>
        <v>71</v>
      </c>
    </row>
    <row r="3" spans="1:5">
      <c r="A3" s="2">
        <v>2</v>
      </c>
      <c r="B3" s="2">
        <f>COUNTIF(redshift_table!C:C, 2)</f>
        <v>6</v>
      </c>
      <c r="D3" s="2" t="s">
        <v>93</v>
      </c>
      <c r="E3" s="2">
        <f>COUNTIF(redshift_table!D3:D144, "AS")</f>
        <v>5</v>
      </c>
    </row>
    <row r="4" spans="1:5">
      <c r="A4" s="2">
        <v>3</v>
      </c>
      <c r="B4" s="2">
        <f>COUNTIF(redshift_table!C:C, 3)</f>
        <v>100</v>
      </c>
      <c r="D4" s="2" t="s">
        <v>79</v>
      </c>
      <c r="E4" s="2">
        <f>COUNTIF(redshift_table!D3:D144, "B")</f>
        <v>25</v>
      </c>
    </row>
    <row r="5" spans="1:5">
      <c r="D5" s="1" t="s">
        <v>87</v>
      </c>
      <c r="E5" s="2">
        <f>COUNTIF(redshift_table!D3:D144, "BS")</f>
        <v>5</v>
      </c>
    </row>
    <row r="6" spans="1:5">
      <c r="D6" s="1" t="s">
        <v>97</v>
      </c>
      <c r="E6" s="2">
        <f>COUNTIF(redshift_table!D3:D144, "C")</f>
        <v>8</v>
      </c>
    </row>
    <row r="7" spans="1:5">
      <c r="D7" s="1" t="s">
        <v>83</v>
      </c>
      <c r="E7" s="2">
        <f>COUNTIF(redshift_table!D3:D144, "D")</f>
        <v>4</v>
      </c>
    </row>
    <row r="8" spans="1:5">
      <c r="D8" s="1" t="s">
        <v>72</v>
      </c>
      <c r="E8" s="2">
        <f>COUNTIF(redshift_table!D3:D144, "E")</f>
        <v>20</v>
      </c>
    </row>
    <row r="9" spans="1:5">
      <c r="D9" s="1" t="s">
        <v>70</v>
      </c>
      <c r="E9" s="2">
        <f>COUNTIF(redshift_table!D3:D144, "F")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redshift_table</vt:lpstr>
      <vt:lpstr>other_calculations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14477</dc:creator>
  <cp:lastModifiedBy>M12189</cp:lastModifiedBy>
  <dcterms:created xsi:type="dcterms:W3CDTF">2025-06-14T09:03:30Z</dcterms:created>
  <dcterms:modified xsi:type="dcterms:W3CDTF">2026-04-13T21:01:02Z</dcterms:modified>
</cp:coreProperties>
</file>