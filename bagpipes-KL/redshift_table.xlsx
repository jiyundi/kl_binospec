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RschArchives\RSCH3_upload\kl_github\kl_measurement-manga\scripts\"/>
    </mc:Choice>
  </mc:AlternateContent>
  <xr:revisionPtr revIDLastSave="0" documentId="13_ncr:1_{72D9100F-C8F3-4405-8D18-7DA600288709}" xr6:coauthVersionLast="47" xr6:coauthVersionMax="47" xr10:uidLastSave="{00000000-0000-0000-0000-000000000000}"/>
  <bookViews>
    <workbookView xWindow="-120" yWindow="-120" windowWidth="29040" windowHeight="15840" xr2:uid="{D0472C34-474C-4FE1-B401-AA8D4EBE0D9B}"/>
  </bookViews>
  <sheets>
    <sheet name="redshift_table" sheetId="1" r:id="rId1"/>
    <sheet name="other_calculations" sheetId="2" r:id="rId2"/>
  </sheets>
  <definedNames>
    <definedName name="_xlnm._FilterDatabase" localSheetId="0" hidden="1">redshift_table!$A$2:$N$144</definedName>
    <definedName name="_xlchart.v1.0" hidden="1">redshift_table!$B$3:$B$144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  <c r="B2" i="2"/>
  <c r="B4" i="2"/>
  <c r="B3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4" i="1"/>
  <c r="B3" i="1"/>
</calcChain>
</file>

<file path=xl/sharedStrings.xml><?xml version="1.0" encoding="utf-8"?>
<sst xmlns="http://schemas.openxmlformats.org/spreadsheetml/2006/main" count="866" uniqueCount="79">
  <si>
    <t>Set_C</t>
  </si>
  <si>
    <t>slit</t>
  </si>
  <si>
    <t>note</t>
  </si>
  <si>
    <t>F (ns)</t>
  </si>
  <si>
    <t>E (fc)</t>
  </si>
  <si>
    <t>B (sky)</t>
  </si>
  <si>
    <t>O3a,O3b</t>
  </si>
  <si>
    <t>A</t>
  </si>
  <si>
    <t>Hb,O3a,O3b</t>
  </si>
  <si>
    <t>Hb,O3b</t>
  </si>
  <si>
    <t>Hg,Hb,O3b</t>
  </si>
  <si>
    <t>D (gc)</t>
  </si>
  <si>
    <t>O2</t>
  </si>
  <si>
    <t>Very extended line, 8 Angstrom</t>
  </si>
  <si>
    <t>O2,Hb</t>
  </si>
  <si>
    <t>Hg,Hb,O3a,O3b</t>
  </si>
  <si>
    <t>Hb</t>
  </si>
  <si>
    <t>Single line, not likely [O II]</t>
  </si>
  <si>
    <t>C (cs)</t>
  </si>
  <si>
    <t>O3b</t>
  </si>
  <si>
    <t>Two suspecious emission dots 320 Angstrom redwards of [O III]</t>
  </si>
  <si>
    <t>Hb,O3a</t>
  </si>
  <si>
    <t>O3a</t>
  </si>
  <si>
    <t>Only one faint emission feature</t>
  </si>
  <si>
    <t>O2,Hb,O3b</t>
  </si>
  <si>
    <t>O3b,Ha</t>
  </si>
  <si>
    <t>B (sky)</t>
    <phoneticPr fontId="18" type="noConversion"/>
  </si>
  <si>
    <t>Set_B_p1</t>
    <phoneticPr fontId="18" type="noConversion"/>
  </si>
  <si>
    <t>z</t>
    <phoneticPr fontId="18" type="noConversion"/>
  </si>
  <si>
    <t>conf</t>
    <phoneticPr fontId="18" type="noConversion"/>
  </si>
  <si>
    <t>A</t>
    <phoneticPr fontId="18" type="noConversion"/>
  </si>
  <si>
    <t>F (ns)</t>
    <phoneticPr fontId="18" type="noConversion"/>
  </si>
  <si>
    <t>D (gc)</t>
    <phoneticPr fontId="18" type="noConversion"/>
  </si>
  <si>
    <t>O3b</t>
    <phoneticPr fontId="18" type="noConversion"/>
  </si>
  <si>
    <t>Hb,O3b</t>
    <phoneticPr fontId="18" type="noConversion"/>
  </si>
  <si>
    <t>All</t>
    <phoneticPr fontId="18" type="noConversion"/>
  </si>
  <si>
    <t>z2</t>
    <phoneticPr fontId="18" type="noConversion"/>
  </si>
  <si>
    <t>z3</t>
    <phoneticPr fontId="18" type="noConversion"/>
  </si>
  <si>
    <t>Hb,O3a,O3b</t>
    <phoneticPr fontId="18" type="noConversion"/>
  </si>
  <si>
    <t>More than one target in this slit, other z=0.2955 (N II, H alpha, S II; 3)</t>
    <phoneticPr fontId="18" type="noConversion"/>
  </si>
  <si>
    <t>More than one target in this slit, other z=0.991 ([O II]; 2.5)</t>
    <phoneticPr fontId="18" type="noConversion"/>
  </si>
  <si>
    <t>E (fc)</t>
    <phoneticPr fontId="18" type="noConversion"/>
  </si>
  <si>
    <t>O2,Hb</t>
    <phoneticPr fontId="18" type="noConversion"/>
  </si>
  <si>
    <t>C (cs)</t>
    <phoneticPr fontId="18" type="noConversion"/>
  </si>
  <si>
    <t>Hg,Hb,O3a,O3b</t>
    <phoneticPr fontId="18" type="noConversion"/>
  </si>
  <si>
    <t>Only one galaxy at slit position but two continuum observed</t>
    <phoneticPr fontId="18" type="noConversion"/>
  </si>
  <si>
    <t>Hb</t>
    <phoneticPr fontId="18" type="noConversion"/>
  </si>
  <si>
    <t>Hb,03a</t>
    <phoneticPr fontId="18" type="noConversion"/>
  </si>
  <si>
    <t>O3b,Ha</t>
    <phoneticPr fontId="18" type="noConversion"/>
  </si>
  <si>
    <t>O3a,O3b</t>
    <phoneticPr fontId="18" type="noConversion"/>
  </si>
  <si>
    <t>O2</t>
    <phoneticPr fontId="18" type="noConversion"/>
  </si>
  <si>
    <t>grade1</t>
    <phoneticPr fontId="18" type="noConversion"/>
  </si>
  <si>
    <t>z1</t>
    <phoneticPr fontId="18" type="noConversion"/>
  </si>
  <si>
    <t>lines1</t>
    <phoneticPr fontId="18" type="noConversion"/>
  </si>
  <si>
    <t>grade2</t>
    <phoneticPr fontId="18" type="noConversion"/>
  </si>
  <si>
    <t>lines2</t>
    <phoneticPr fontId="18" type="noConversion"/>
  </si>
  <si>
    <t>grade3</t>
    <phoneticPr fontId="18" type="noConversion"/>
  </si>
  <si>
    <t>lines3</t>
    <phoneticPr fontId="18" type="noConversion"/>
  </si>
  <si>
    <t>Set_A_m1_231023</t>
    <phoneticPr fontId="18" type="noConversion"/>
  </si>
  <si>
    <t>03b</t>
    <phoneticPr fontId="18" type="noConversion"/>
  </si>
  <si>
    <t>More than one target in this slit, other z=0.2545 (N II, H alpha, S II; 3)</t>
    <phoneticPr fontId="18" type="noConversion"/>
  </si>
  <si>
    <t>O3a</t>
    <phoneticPr fontId="18" type="noConversion"/>
  </si>
  <si>
    <t>One suspecious emission dot 300 Angstrom bluewards of H beta. Extra gal along light of sight?</t>
    <phoneticPr fontId="18" type="noConversion"/>
  </si>
  <si>
    <t>O2,O3b</t>
    <phoneticPr fontId="18" type="noConversion"/>
  </si>
  <si>
    <t>More than one target in this slit, other z=1.003 ([O II]; 2)</t>
    <phoneticPr fontId="18" type="noConversion"/>
  </si>
  <si>
    <t>More than one target in this slit, an [O II] at 100 Angstrom (z=1.1095). Extra gal along light of sight?</t>
    <phoneticPr fontId="18" type="noConversion"/>
  </si>
  <si>
    <t>Hb,O3a,O3b,Ha</t>
    <phoneticPr fontId="18" type="noConversion"/>
  </si>
  <si>
    <t>amount</t>
    <phoneticPr fontId="18" type="noConversion"/>
  </si>
  <si>
    <t>spec_quality</t>
  </si>
  <si>
    <t>B</t>
  </si>
  <si>
    <t>D</t>
  </si>
  <si>
    <t>E</t>
  </si>
  <si>
    <t>F</t>
  </si>
  <si>
    <t>C</t>
  </si>
  <si>
    <t>BS</t>
  </si>
  <si>
    <t>AS</t>
  </si>
  <si>
    <t>N2a,N2b,Ha</t>
  </si>
  <si>
    <t>O3a,O3b,Ha,N2a,N2b</t>
  </si>
  <si>
    <t>O3b,Ha,N2a,N2b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</si>
</sst>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_);[Red]\(0\)"/>
  </numFmts>
  <fonts count="22" x14ac:knownFonts="1">
    <font>
      <sz val="14"/>
      <color theme="1"/>
      <name val="Consolas"/>
      <family val="2"/>
      <charset val="134"/>
    </font>
    <font>
      <sz val="14"/>
      <color theme="1"/>
      <name val="Consolas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4"/>
      <color rgb="FF006100"/>
      <name val="Consolas"/>
      <family val="2"/>
      <charset val="134"/>
    </font>
    <font>
      <sz val="14"/>
      <color rgb="FF9C0006"/>
      <name val="Consolas"/>
      <family val="2"/>
      <charset val="134"/>
    </font>
    <font>
      <sz val="14"/>
      <color rgb="FF9C5700"/>
      <name val="Consolas"/>
      <family val="2"/>
      <charset val="134"/>
    </font>
    <font>
      <sz val="14"/>
      <color rgb="FF3F3F76"/>
      <name val="Consolas"/>
      <family val="2"/>
      <charset val="134"/>
    </font>
    <font>
      <b/>
      <sz val="14"/>
      <color rgb="FF3F3F3F"/>
      <name val="Consolas"/>
      <family val="2"/>
      <charset val="134"/>
    </font>
    <font>
      <b/>
      <sz val="14"/>
      <color rgb="FFFA7D00"/>
      <name val="Consolas"/>
      <family val="2"/>
      <charset val="134"/>
    </font>
    <font>
      <sz val="14"/>
      <color rgb="FFFA7D00"/>
      <name val="Consolas"/>
      <family val="2"/>
      <charset val="134"/>
    </font>
    <font>
      <b/>
      <sz val="14"/>
      <color theme="0"/>
      <name val="Consolas"/>
      <family val="2"/>
      <charset val="134"/>
    </font>
    <font>
      <sz val="14"/>
      <color rgb="FFFF0000"/>
      <name val="Consolas"/>
      <family val="2"/>
      <charset val="134"/>
    </font>
    <font>
      <i/>
      <sz val="14"/>
      <color rgb="FF7F7F7F"/>
      <name val="Consolas"/>
      <family val="2"/>
      <charset val="134"/>
    </font>
    <font>
      <b/>
      <sz val="14"/>
      <color theme="1"/>
      <name val="Consolas"/>
      <family val="2"/>
      <charset val="134"/>
    </font>
    <font>
      <sz val="14"/>
      <color theme="0"/>
      <name val="Consolas"/>
      <family val="2"/>
      <charset val="134"/>
    </font>
    <font>
      <sz val="9"/>
      <name val="Consolas"/>
      <family val="2"/>
      <charset val="134"/>
    </font>
    <font>
      <sz val="14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1" fillId="0" borderId="10" xfId="0" applyFont="1" applyBorder="1">
      <alignment vertical="center"/>
    </xf>
    <xf numFmtId="0" fontId="20" fillId="0" borderId="10" xfId="0" applyFont="1" applyBorder="1">
      <alignment vertical="center"/>
    </xf>
    <xf numFmtId="176" fontId="21" fillId="0" borderId="0" xfId="0" applyNumberFormat="1" applyFont="1">
      <alignment vertical="center"/>
    </xf>
    <xf numFmtId="177" fontId="20" fillId="0" borderId="0" xfId="0" applyNumberFormat="1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77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77" formatCode="0_);[Red]\(0\)"/>
    </dxf>
    <dxf>
      <font>
        <b/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76" formatCode="0.000_);[Red]\(0.0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</dxf>
  </dxfs>
  <tableStyles count="0" defaultTableStyle="TableStyleMedium2" defaultPivotStyle="PivotStyleLight16"/>
  <colors>
    <mruColors>
      <color rgb="FFFAC8C8"/>
      <color rgb="FFFB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> confidence 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958538605134247"/>
          <c:w val="0.63734457136519906"/>
          <c:h val="0.60496610383595095"/>
        </c:manualLayout>
      </c:layout>
      <c:doughnutChart>
        <c:varyColors val="1"/>
        <c:ser>
          <c:idx val="1"/>
          <c:order val="1"/>
          <c:tx>
            <c:strRef>
              <c:f>other_calculations!$B$1</c:f>
              <c:strCache>
                <c:ptCount val="1"/>
                <c:pt idx="0">
                  <c:v>amount</c:v>
                </c:pt>
              </c:strCache>
            </c:strRef>
          </c:tx>
          <c:spPr>
            <a:ln w="0"/>
          </c:spPr>
          <c:explosion val="10"/>
          <c:dPt>
            <c:idx val="0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3-4172-BF20-D7ECF301423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3-4172-BF20-D7ECF301423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3-4172-BF20-D7ECF301423C}"/>
              </c:ext>
            </c:extLst>
          </c:dPt>
          <c:dLbls>
            <c:dLbl>
              <c:idx val="0"/>
              <c:layout>
                <c:manualLayout>
                  <c:x val="0.15145850430667984"/>
                  <c:y val="-0.168520218395160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3-4172-BF20-D7ECF301423C}"/>
                </c:ext>
              </c:extLst>
            </c:dLbl>
            <c:dLbl>
              <c:idx val="1"/>
              <c:layout>
                <c:manualLayout>
                  <c:x val="0.18103670843961406"/>
                  <c:y val="0.171406515362050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E3-4172-BF20-D7ECF301423C}"/>
                </c:ext>
              </c:extLst>
            </c:dLbl>
            <c:dLbl>
              <c:idx val="2"/>
              <c:layout>
                <c:manualLayout>
                  <c:x val="-0.18118605596835607"/>
                  <c:y val="1.3994098195352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3-4172-BF20-D7ECF30142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other_calculations!$B$2:$B$4</c:f>
              <c:numCache>
                <c:formatCode>General</c:formatCode>
                <c:ptCount val="3"/>
                <c:pt idx="0">
                  <c:v>36</c:v>
                </c:pt>
                <c:pt idx="1">
                  <c:v>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3-4172-BF20-D7ECF3014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"/>
        <c:holeSize val="31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other_calculations!$A$1</c15:sqref>
                        </c15:formulaRef>
                      </c:ext>
                    </c:extLst>
                    <c:strCache>
                      <c:ptCount val="1"/>
                      <c:pt idx="0">
                        <c:v>conf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0E3-4172-BF20-D7ECF30142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70E3-4172-BF20-D7ECF30142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0E3-4172-BF20-D7ECF301423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other_calculations!$A$2:$A$4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70E3-4172-BF20-D7ECF301423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4538407102752221"/>
          <c:y val="2.7341150204646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323549489447634"/>
          <c:w val="0.63734457136519906"/>
          <c:h val="0.60496610383595095"/>
        </c:manualLayout>
      </c:layout>
      <c:doughnutChart>
        <c:varyColors val="1"/>
        <c:ser>
          <c:idx val="0"/>
          <c:order val="0"/>
          <c:tx>
            <c:strRef>
              <c:f>other_calculations!$E$1</c:f>
              <c:strCache>
                <c:ptCount val="1"/>
                <c:pt idx="0">
                  <c:v>amount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F33B-4928-9772-A821C2EC0351}"/>
              </c:ext>
            </c:extLst>
          </c:dPt>
          <c:dPt>
            <c:idx val="1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A-F33B-4928-9772-A821C2EC0351}"/>
              </c:ext>
            </c:extLst>
          </c:dPt>
          <c:dPt>
            <c:idx val="2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F33B-4928-9772-A821C2EC0351}"/>
              </c:ext>
            </c:extLst>
          </c:dPt>
          <c:dPt>
            <c:idx val="3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02-4F05-BC6C-9DEA2D809ADA}"/>
              </c:ext>
            </c:extLst>
          </c:dPt>
          <c:dPt>
            <c:idx val="4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3B-4928-9772-A821C2EC0351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3B-4928-9772-A821C2EC0351}"/>
              </c:ext>
            </c:extLst>
          </c:dPt>
          <c:dPt>
            <c:idx val="6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33B-4928-9772-A821C2EC0351}"/>
              </c:ext>
            </c:extLst>
          </c:dPt>
          <c:dPt>
            <c:idx val="7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3B-4928-9772-A821C2EC0351}"/>
              </c:ext>
            </c:extLst>
          </c:dPt>
          <c:dLbls>
            <c:dLbl>
              <c:idx val="4"/>
              <c:layout>
                <c:manualLayout>
                  <c:x val="3.5239783343678159E-2"/>
                  <c:y val="0.16995473346857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3B-4928-9772-A821C2EC0351}"/>
                </c:ext>
              </c:extLst>
            </c:dLbl>
            <c:dLbl>
              <c:idx val="5"/>
              <c:layout>
                <c:manualLayout>
                  <c:x val="0.22075395903035788"/>
                  <c:y val="0.168388708718880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3B-4928-9772-A821C2EC0351}"/>
                </c:ext>
              </c:extLst>
            </c:dLbl>
            <c:dLbl>
              <c:idx val="6"/>
              <c:layout>
                <c:manualLayout>
                  <c:x val="0.4389356030859497"/>
                  <c:y val="0.1999998967342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3B-4928-9772-A821C2EC0351}"/>
                </c:ext>
              </c:extLst>
            </c:dLbl>
            <c:dLbl>
              <c:idx val="7"/>
              <c:layout>
                <c:manualLayout>
                  <c:x val="0.61826695649427987"/>
                  <c:y val="0.27540969386358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3B-4928-9772-A821C2EC0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other_calculations!$D$2:$D$9</c:f>
              <c:strCache>
                <c:ptCount val="8"/>
                <c:pt idx="0">
                  <c:v>A</c:v>
                </c:pt>
                <c:pt idx="1">
                  <c:v>AS</c:v>
                </c:pt>
                <c:pt idx="2">
                  <c:v>B</c:v>
                </c:pt>
                <c:pt idx="3">
                  <c:v>BS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</c:strCache>
            </c:strRef>
          </c:cat>
          <c:val>
            <c:numRef>
              <c:f>other_calculations!$E$2:$E$9</c:f>
              <c:numCache>
                <c:formatCode>General</c:formatCode>
                <c:ptCount val="8"/>
                <c:pt idx="0">
                  <c:v>71</c:v>
                </c:pt>
                <c:pt idx="1">
                  <c:v>5</c:v>
                </c:pt>
                <c:pt idx="2">
                  <c:v>25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20</c:v>
                </c:pt>
                <c:pt idx="7">
                  <c:v>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F33B-4928-9772-A821C2EC0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48"/>
        <c:holeSize val="25"/>
        <c:extLst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691936650607109"/>
          <c:w val="1"/>
          <c:h val="8.3080633493928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800" b="1" i="0" u="none" strike="noStrike" baseline="0">
                <a:solidFill>
                  <a:schemeClr val="tx2"/>
                </a:solidFill>
                <a:latin typeface="Aptos Narrow" panose="02110004020202020204"/>
              </a:rPr>
              <a:t>Slit redshift distribution </a:t>
            </a:r>
            <a:r>
              <a:rPr lang="en-US" altLang="zh-CN" sz="1800" b="0" i="0" u="none" strike="noStrike" baseline="0">
                <a:solidFill>
                  <a:schemeClr val="tx2"/>
                </a:solidFill>
                <a:latin typeface="Aptos Narrow" panose="02110004020202020204"/>
              </a:rPr>
              <a:t>(including conf=1/unreliable redshifts)</a:t>
            </a:r>
          </a:p>
        </cx:rich>
      </cx:tx>
    </cx:title>
    <cx:plotArea>
      <cx:plotAreaRegion>
        <cx:series layoutId="clusteredColumn" uniqueId="{5F240352-3E38-49A9-A4FA-E54E06AE443B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>
                    <a:solidFill>
                      <a:schemeClr val="tx2"/>
                    </a:solidFill>
                  </a:defRPr>
                </a:pPr>
                <a:endParaRPr lang="en-US" altLang="zh-CN" sz="1600" b="0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Spectroscopic redshifts (z_spec)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Spectroscopic redshifts (z_spec)</a:t>
              </a:r>
            </a:p>
          </cx:txPr>
        </cx:title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aseline="0">
                <a:ln>
                  <a:noFill/>
                </a:ln>
                <a:solidFill>
                  <a:schemeClr val="tx1"/>
                </a:solidFill>
              </a:defRPr>
            </a:pPr>
            <a:endParaRPr lang="en-US" altLang="zh-CN" sz="1100" b="0" i="0" u="none" strike="noStrike" baseline="0">
              <a:ln>
                <a:noFill/>
              </a:ln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Slit/Target amount (N)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aseline="0">
                  <a:solidFill>
                    <a:schemeClr val="tx2"/>
                  </a:solidFill>
                </a:defRPr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Slit/Target amount (N)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ysClr val="windowText" lastClr="000000"/>
                </a:solidFill>
              </a:defRPr>
            </a:pPr>
            <a:endParaRPr lang="en-US" altLang="zh-CN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77389</xdr:colOff>
      <xdr:row>144</xdr:row>
      <xdr:rowOff>168274</xdr:rowOff>
    </xdr:from>
    <xdr:to>
      <xdr:col>12</xdr:col>
      <xdr:colOff>1419225</xdr:colOff>
      <xdr:row>154</xdr:row>
      <xdr:rowOff>323849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2FFA75-4A71-D781-ECD8-FE17E1CFF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039" y="49545874"/>
              <a:ext cx="10571561" cy="358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180975</xdr:colOff>
      <xdr:row>144</xdr:row>
      <xdr:rowOff>180975</xdr:rowOff>
    </xdr:from>
    <xdr:to>
      <xdr:col>13</xdr:col>
      <xdr:colOff>3562350</xdr:colOff>
      <xdr:row>154</xdr:row>
      <xdr:rowOff>314325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AE9F2A-0486-42B2-9B7C-2AD1FC8A5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84667</xdr:colOff>
      <xdr:row>155</xdr:row>
      <xdr:rowOff>67732</xdr:rowOff>
    </xdr:from>
    <xdr:to>
      <xdr:col>5</xdr:col>
      <xdr:colOff>561975</xdr:colOff>
      <xdr:row>166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AA11D-3049-4A59-B50E-52EAAB410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F7692-4B0E-4734-B95A-5ECC0F5ED475}" name="Table1" displayName="Table1" ref="A2:N144" totalsRowShown="0" headerRowDxfId="21" dataDxfId="20">
  <autoFilter ref="A2:N144" xr:uid="{B49B4158-5F58-414E-8D74-5AE881EF5472}"/>
  <tableColumns count="14">
    <tableColumn id="1" xr3:uid="{F67D2242-ABF9-4E8F-B1A0-19EEA56193B1}" name="slit" dataDxfId="19"/>
    <tableColumn id="7" xr3:uid="{6C59C6FA-AFBC-4A35-8E9C-7A38E96D65F0}" name="z" dataDxfId="18">
      <calculatedColumnFormula>IFERROR(AVERAGE(F3,L3,I3),"")</calculatedColumnFormula>
    </tableColumn>
    <tableColumn id="9" xr3:uid="{0B560D4A-19EC-40F5-A502-738F56A2085C}" name="conf" dataDxfId="17"/>
    <tableColumn id="6" xr3:uid="{E5593B01-E37A-4363-97BA-9CABA7EF8300}" name="spec_quality" dataDxfId="16"/>
    <tableColumn id="5" xr3:uid="{17FA3ED7-B019-4121-B28B-C77B0BA0A599}" name="grade1" dataDxfId="15"/>
    <tableColumn id="13" xr3:uid="{98D0C05C-A051-4A82-9B4F-7295A475FC9E}" name="z1" dataDxfId="14"/>
    <tableColumn id="3" xr3:uid="{319F0480-AAB6-487C-8160-778B915CB6F2}" name="lines1" dataDxfId="13"/>
    <tableColumn id="16" xr3:uid="{3DC1786E-4659-49E1-BB4A-29A39FDE0E26}" name="grade3" dataDxfId="12"/>
    <tableColumn id="15" xr3:uid="{1013F755-2E13-4F11-A80A-E9B56E7B6706}" name="z3" dataDxfId="11"/>
    <tableColumn id="14" xr3:uid="{D8DAA6B0-1186-442F-A0C0-F3B802281C5E}" name="lines3" dataDxfId="10"/>
    <tableColumn id="2" xr3:uid="{BBCD2322-95DF-4DFF-9CE2-8DFB6A9DA0CD}" name="grade2" dataDxfId="9"/>
    <tableColumn id="11" xr3:uid="{62FAF57F-C952-4D08-9A5E-CEBB519DB31C}" name="z2" dataDxfId="8"/>
    <tableColumn id="4" xr3:uid="{5BE01338-FB66-4323-9DB2-A381737B799C}" name="lines2" dataDxfId="7"/>
    <tableColumn id="10" xr3:uid="{A621B0DA-3EED-4784-9E92-CE24448414F4}" name="not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4158-5F58-414E-8D74-5AE881EF5472}">
  <dimension ref="A1:N14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defaultColWidth="8.796875" defaultRowHeight="27" customHeight="1" x14ac:dyDescent="0.3"/>
  <cols>
    <col min="1" max="1" width="6.59765625" style="4" bestFit="1" customWidth="1"/>
    <col min="2" max="2" width="6.796875" style="4" bestFit="1" customWidth="1"/>
    <col min="3" max="3" width="6.59765625" style="3" bestFit="1" customWidth="1"/>
    <col min="4" max="4" width="12.3984375" style="3" bestFit="1" customWidth="1"/>
    <col min="5" max="5" width="8.3984375" style="4" customWidth="1"/>
    <col min="6" max="6" width="6.796875" style="4" bestFit="1" customWidth="1"/>
    <col min="7" max="7" width="13.3984375" style="3" bestFit="1" customWidth="1"/>
    <col min="8" max="8" width="8.3984375" style="3" bestFit="1" customWidth="1"/>
    <col min="9" max="9" width="6.796875" style="3" bestFit="1" customWidth="1"/>
    <col min="10" max="10" width="13.3984375" style="3" bestFit="1" customWidth="1"/>
    <col min="11" max="11" width="8.59765625" style="4" bestFit="1" customWidth="1"/>
    <col min="12" max="12" width="6.796875" style="4" bestFit="1" customWidth="1"/>
    <col min="13" max="13" width="13.3984375" style="3" bestFit="1" customWidth="1"/>
    <col min="14" max="14" width="102.3984375" style="4" bestFit="1" customWidth="1"/>
    <col min="15" max="15" width="14.796875" style="3" bestFit="1" customWidth="1"/>
    <col min="16" max="16" width="67" style="3" bestFit="1" customWidth="1"/>
    <col min="17" max="17" width="8" style="3" bestFit="1" customWidth="1"/>
    <col min="18" max="18" width="67" style="3" bestFit="1" customWidth="1"/>
    <col min="19" max="16384" width="8.796875" style="3"/>
  </cols>
  <sheetData>
    <row r="1" spans="1:14" ht="27" customHeight="1" x14ac:dyDescent="0.3">
      <c r="B1" s="4" t="s">
        <v>35</v>
      </c>
      <c r="E1" s="5" t="s">
        <v>58</v>
      </c>
      <c r="H1" s="5" t="s">
        <v>0</v>
      </c>
      <c r="K1" s="5" t="s">
        <v>27</v>
      </c>
      <c r="N1" s="6"/>
    </row>
    <row r="2" spans="1:14" ht="27" customHeight="1" x14ac:dyDescent="0.3">
      <c r="A2" s="4" t="s">
        <v>1</v>
      </c>
      <c r="B2" s="4" t="s">
        <v>28</v>
      </c>
      <c r="C2" s="3" t="s">
        <v>29</v>
      </c>
      <c r="D2" s="3" t="s">
        <v>68</v>
      </c>
      <c r="E2" s="5" t="s">
        <v>51</v>
      </c>
      <c r="F2" s="4" t="s">
        <v>52</v>
      </c>
      <c r="G2" s="3" t="s">
        <v>53</v>
      </c>
      <c r="H2" s="5" t="s">
        <v>56</v>
      </c>
      <c r="I2" s="4" t="s">
        <v>37</v>
      </c>
      <c r="J2" s="3" t="s">
        <v>57</v>
      </c>
      <c r="K2" s="5" t="s">
        <v>54</v>
      </c>
      <c r="L2" s="4" t="s">
        <v>36</v>
      </c>
      <c r="M2" s="3" t="s">
        <v>55</v>
      </c>
      <c r="N2" s="6" t="s">
        <v>2</v>
      </c>
    </row>
    <row r="3" spans="1:14" ht="27" customHeight="1" x14ac:dyDescent="0.3">
      <c r="A3" s="4">
        <v>1</v>
      </c>
      <c r="B3" s="7" t="str">
        <f t="shared" ref="B3:B34" si="0">IFERROR(AVERAGE(F3,L3,I3),"")</f>
        <v/>
      </c>
      <c r="C3" s="8"/>
      <c r="D3" s="8" t="s">
        <v>72</v>
      </c>
      <c r="E3" s="5" t="s">
        <v>31</v>
      </c>
      <c r="H3" s="5" t="s">
        <v>3</v>
      </c>
      <c r="I3" s="4"/>
      <c r="K3" s="5" t="s">
        <v>3</v>
      </c>
      <c r="N3" s="6"/>
    </row>
    <row r="4" spans="1:14" ht="27" customHeight="1" x14ac:dyDescent="0.3">
      <c r="A4" s="4">
        <v>2</v>
      </c>
      <c r="B4" s="7" t="str">
        <f t="shared" si="0"/>
        <v/>
      </c>
      <c r="C4" s="8"/>
      <c r="D4" s="8" t="s">
        <v>71</v>
      </c>
      <c r="E4" s="5" t="s">
        <v>41</v>
      </c>
      <c r="H4" s="5" t="s">
        <v>4</v>
      </c>
      <c r="I4" s="4"/>
      <c r="K4" s="5" t="s">
        <v>4</v>
      </c>
      <c r="N4" s="6"/>
    </row>
    <row r="5" spans="1:14" ht="27" customHeight="1" x14ac:dyDescent="0.3">
      <c r="A5" s="4">
        <v>3</v>
      </c>
      <c r="B5" s="7">
        <f t="shared" si="0"/>
        <v>0.77300000000000002</v>
      </c>
      <c r="C5" s="8">
        <v>3</v>
      </c>
      <c r="D5" s="8" t="s">
        <v>7</v>
      </c>
      <c r="E5" s="5" t="s">
        <v>31</v>
      </c>
      <c r="H5" s="5" t="s">
        <v>7</v>
      </c>
      <c r="I5" s="4">
        <v>0.77300000000000002</v>
      </c>
      <c r="J5" s="3" t="s">
        <v>8</v>
      </c>
      <c r="K5" s="5" t="s">
        <v>5</v>
      </c>
      <c r="L5" s="4">
        <v>0.77300000000000002</v>
      </c>
      <c r="M5" s="3" t="s">
        <v>6</v>
      </c>
      <c r="N5" s="6"/>
    </row>
    <row r="6" spans="1:14" ht="27" customHeight="1" x14ac:dyDescent="0.3">
      <c r="A6" s="4">
        <v>4</v>
      </c>
      <c r="B6" s="7">
        <f t="shared" si="0"/>
        <v>0.66825000000000001</v>
      </c>
      <c r="C6" s="8">
        <v>3</v>
      </c>
      <c r="D6" s="8" t="s">
        <v>69</v>
      </c>
      <c r="E6" s="5" t="s">
        <v>31</v>
      </c>
      <c r="H6" s="5" t="s">
        <v>5</v>
      </c>
      <c r="I6" s="4">
        <v>0.66800000000000004</v>
      </c>
      <c r="J6" s="3" t="s">
        <v>9</v>
      </c>
      <c r="K6" s="5" t="s">
        <v>26</v>
      </c>
      <c r="L6" s="4">
        <v>0.66849999999999998</v>
      </c>
      <c r="M6" s="3" t="s">
        <v>9</v>
      </c>
      <c r="N6" s="6"/>
    </row>
    <row r="7" spans="1:14" ht="27" customHeight="1" x14ac:dyDescent="0.3">
      <c r="A7" s="4">
        <v>5</v>
      </c>
      <c r="B7" s="7">
        <f t="shared" si="0"/>
        <v>0.84616666666666662</v>
      </c>
      <c r="C7" s="8">
        <v>3</v>
      </c>
      <c r="D7" s="8" t="s">
        <v>7</v>
      </c>
      <c r="E7" s="5" t="s">
        <v>26</v>
      </c>
      <c r="F7" s="4">
        <v>0.84650000000000003</v>
      </c>
      <c r="G7" s="3" t="s">
        <v>9</v>
      </c>
      <c r="H7" s="5" t="s">
        <v>7</v>
      </c>
      <c r="I7" s="4">
        <v>0.84599999999999997</v>
      </c>
      <c r="J7" s="3" t="s">
        <v>10</v>
      </c>
      <c r="K7" s="5" t="s">
        <v>30</v>
      </c>
      <c r="L7" s="4">
        <v>0.84599999999999997</v>
      </c>
      <c r="M7" s="3" t="s">
        <v>9</v>
      </c>
      <c r="N7" s="6"/>
    </row>
    <row r="8" spans="1:14" ht="27" customHeight="1" x14ac:dyDescent="0.3">
      <c r="A8" s="4">
        <v>6</v>
      </c>
      <c r="B8" s="7" t="str">
        <f t="shared" si="0"/>
        <v/>
      </c>
      <c r="C8" s="8"/>
      <c r="D8" s="8" t="s">
        <v>70</v>
      </c>
      <c r="E8" s="5" t="s">
        <v>32</v>
      </c>
      <c r="H8" s="5" t="s">
        <v>11</v>
      </c>
      <c r="I8" s="4"/>
      <c r="K8" s="5" t="s">
        <v>11</v>
      </c>
      <c r="N8" s="6"/>
    </row>
    <row r="9" spans="1:14" ht="27" customHeight="1" x14ac:dyDescent="0.3">
      <c r="A9" s="4">
        <v>7</v>
      </c>
      <c r="B9" s="7">
        <f t="shared" si="0"/>
        <v>0.41083333333333333</v>
      </c>
      <c r="C9" s="8">
        <v>3</v>
      </c>
      <c r="D9" s="8" t="s">
        <v>7</v>
      </c>
      <c r="E9" s="5" t="s">
        <v>7</v>
      </c>
      <c r="F9" s="4">
        <v>0.41099999999999998</v>
      </c>
      <c r="G9" s="3" t="s">
        <v>76</v>
      </c>
      <c r="H9" s="5" t="s">
        <v>7</v>
      </c>
      <c r="I9" s="4">
        <v>0.41099999999999998</v>
      </c>
      <c r="J9" s="3" t="s">
        <v>76</v>
      </c>
      <c r="K9" s="5" t="s">
        <v>7</v>
      </c>
      <c r="L9" s="4">
        <v>0.41049999999999998</v>
      </c>
      <c r="M9" s="3" t="s">
        <v>76</v>
      </c>
      <c r="N9" s="6"/>
    </row>
    <row r="10" spans="1:14" ht="27" customHeight="1" x14ac:dyDescent="0.3">
      <c r="A10" s="4">
        <v>8</v>
      </c>
      <c r="B10" s="7">
        <f t="shared" si="0"/>
        <v>0.49183333333333334</v>
      </c>
      <c r="C10" s="8">
        <v>3</v>
      </c>
      <c r="D10" s="8" t="s">
        <v>7</v>
      </c>
      <c r="E10" s="5" t="s">
        <v>7</v>
      </c>
      <c r="F10" s="4">
        <v>0.49149999999999999</v>
      </c>
      <c r="G10" s="3" t="s">
        <v>8</v>
      </c>
      <c r="H10" s="5" t="s">
        <v>7</v>
      </c>
      <c r="I10" s="4">
        <v>0.49199999999999999</v>
      </c>
      <c r="J10" s="3" t="s">
        <v>8</v>
      </c>
      <c r="K10" s="5" t="s">
        <v>7</v>
      </c>
      <c r="L10" s="4">
        <v>0.49199999999999999</v>
      </c>
      <c r="M10" s="3" t="s">
        <v>8</v>
      </c>
      <c r="N10" s="6"/>
    </row>
    <row r="11" spans="1:14" ht="27" customHeight="1" x14ac:dyDescent="0.3">
      <c r="A11" s="4">
        <v>9</v>
      </c>
      <c r="B11" s="7" t="str">
        <f t="shared" si="0"/>
        <v/>
      </c>
      <c r="C11" s="8"/>
      <c r="D11" s="8" t="s">
        <v>71</v>
      </c>
      <c r="E11" s="5" t="s">
        <v>41</v>
      </c>
      <c r="H11" s="5" t="s">
        <v>4</v>
      </c>
      <c r="I11" s="4"/>
      <c r="K11" s="5" t="s">
        <v>4</v>
      </c>
      <c r="N11" s="6"/>
    </row>
    <row r="12" spans="1:14" ht="27" customHeight="1" x14ac:dyDescent="0.3">
      <c r="A12" s="4">
        <v>10</v>
      </c>
      <c r="B12" s="7">
        <f t="shared" si="0"/>
        <v>0.6691666666666668</v>
      </c>
      <c r="C12" s="8">
        <v>3</v>
      </c>
      <c r="D12" s="8" t="s">
        <v>7</v>
      </c>
      <c r="E12" s="5" t="s">
        <v>26</v>
      </c>
      <c r="F12" s="4">
        <v>0.66849999999999998</v>
      </c>
      <c r="G12" s="3" t="s">
        <v>8</v>
      </c>
      <c r="H12" s="5" t="s">
        <v>7</v>
      </c>
      <c r="I12" s="4">
        <v>0.66900000000000004</v>
      </c>
      <c r="J12" s="3" t="s">
        <v>8</v>
      </c>
      <c r="K12" s="5" t="s">
        <v>7</v>
      </c>
      <c r="L12" s="4">
        <v>0.67</v>
      </c>
      <c r="M12" s="3" t="s">
        <v>8</v>
      </c>
      <c r="N12" s="6"/>
    </row>
    <row r="13" spans="1:14" ht="27" customHeight="1" x14ac:dyDescent="0.3">
      <c r="A13" s="4">
        <v>11</v>
      </c>
      <c r="B13" s="7" t="str">
        <f t="shared" si="0"/>
        <v/>
      </c>
      <c r="C13" s="8"/>
      <c r="D13" s="8" t="s">
        <v>71</v>
      </c>
      <c r="E13" s="5" t="s">
        <v>41</v>
      </c>
      <c r="H13" s="5" t="s">
        <v>4</v>
      </c>
      <c r="I13" s="4"/>
      <c r="K13" s="5" t="s">
        <v>4</v>
      </c>
      <c r="N13" s="6"/>
    </row>
    <row r="14" spans="1:14" ht="27" customHeight="1" x14ac:dyDescent="0.3">
      <c r="A14" s="4">
        <v>12</v>
      </c>
      <c r="B14" s="7">
        <f t="shared" si="0"/>
        <v>0.47899999999999998</v>
      </c>
      <c r="C14" s="8">
        <v>3</v>
      </c>
      <c r="D14" s="8" t="s">
        <v>74</v>
      </c>
      <c r="E14" s="5" t="s">
        <v>31</v>
      </c>
      <c r="H14" s="5" t="s">
        <v>5</v>
      </c>
      <c r="I14" s="4">
        <v>0.47899999999999998</v>
      </c>
      <c r="J14" s="3" t="s">
        <v>8</v>
      </c>
      <c r="K14" s="5" t="s">
        <v>31</v>
      </c>
      <c r="N14" s="6"/>
    </row>
    <row r="15" spans="1:14" ht="27" customHeight="1" x14ac:dyDescent="0.3">
      <c r="A15" s="4">
        <v>13</v>
      </c>
      <c r="B15" s="7">
        <f t="shared" si="0"/>
        <v>0.84599999999999997</v>
      </c>
      <c r="C15" s="8">
        <v>3</v>
      </c>
      <c r="D15" s="8" t="s">
        <v>74</v>
      </c>
      <c r="E15" s="5" t="s">
        <v>41</v>
      </c>
      <c r="H15" s="5" t="s">
        <v>5</v>
      </c>
      <c r="I15" s="4">
        <v>0.84599999999999997</v>
      </c>
      <c r="J15" s="3" t="s">
        <v>6</v>
      </c>
      <c r="K15" s="5" t="s">
        <v>32</v>
      </c>
      <c r="N15" s="6" t="s">
        <v>39</v>
      </c>
    </row>
    <row r="16" spans="1:14" ht="27" customHeight="1" x14ac:dyDescent="0.3">
      <c r="A16" s="4">
        <v>14</v>
      </c>
      <c r="B16" s="7">
        <f t="shared" si="0"/>
        <v>0.58366666666666667</v>
      </c>
      <c r="C16" s="8">
        <v>3</v>
      </c>
      <c r="D16" s="8" t="s">
        <v>69</v>
      </c>
      <c r="E16" s="5" t="s">
        <v>26</v>
      </c>
      <c r="F16" s="4">
        <v>0.58399999999999996</v>
      </c>
      <c r="G16" s="3" t="s">
        <v>33</v>
      </c>
      <c r="H16" s="5" t="s">
        <v>5</v>
      </c>
      <c r="I16" s="4">
        <v>0.58299999999999996</v>
      </c>
      <c r="J16" s="3" t="s">
        <v>8</v>
      </c>
      <c r="K16" s="5" t="s">
        <v>5</v>
      </c>
      <c r="L16" s="4">
        <v>0.58399999999999996</v>
      </c>
      <c r="M16" s="3" t="s">
        <v>34</v>
      </c>
      <c r="N16" s="6"/>
    </row>
    <row r="17" spans="1:14" ht="27" customHeight="1" x14ac:dyDescent="0.3">
      <c r="A17" s="4">
        <v>15</v>
      </c>
      <c r="B17" s="7">
        <f t="shared" si="0"/>
        <v>1.4000000000000001</v>
      </c>
      <c r="C17" s="8">
        <v>2</v>
      </c>
      <c r="D17" s="8" t="s">
        <v>69</v>
      </c>
      <c r="E17" s="5" t="s">
        <v>26</v>
      </c>
      <c r="F17" s="4">
        <v>1.401</v>
      </c>
      <c r="G17" s="3" t="s">
        <v>50</v>
      </c>
      <c r="H17" s="5" t="s">
        <v>5</v>
      </c>
      <c r="I17" s="4">
        <v>1.399</v>
      </c>
      <c r="J17" s="3" t="s">
        <v>12</v>
      </c>
      <c r="K17" s="5" t="s">
        <v>5</v>
      </c>
      <c r="L17" s="4">
        <v>1.4</v>
      </c>
      <c r="M17" s="3" t="s">
        <v>12</v>
      </c>
      <c r="N17" s="6" t="s">
        <v>13</v>
      </c>
    </row>
    <row r="18" spans="1:14" ht="27" customHeight="1" x14ac:dyDescent="0.3">
      <c r="A18" s="4">
        <v>16</v>
      </c>
      <c r="B18" s="7">
        <f t="shared" si="0"/>
        <v>0.68200000000000005</v>
      </c>
      <c r="C18" s="8">
        <v>3</v>
      </c>
      <c r="D18" s="8" t="s">
        <v>69</v>
      </c>
      <c r="E18" s="5" t="s">
        <v>26</v>
      </c>
      <c r="F18" s="4">
        <v>0.68200000000000005</v>
      </c>
      <c r="G18" s="3" t="s">
        <v>33</v>
      </c>
      <c r="H18" s="5" t="s">
        <v>5</v>
      </c>
      <c r="I18" s="4">
        <v>0.68200000000000005</v>
      </c>
      <c r="J18" s="3" t="s">
        <v>9</v>
      </c>
      <c r="K18" s="5" t="s">
        <v>26</v>
      </c>
      <c r="L18" s="4">
        <v>0.68200000000000005</v>
      </c>
      <c r="M18" s="3" t="s">
        <v>33</v>
      </c>
      <c r="N18" s="6"/>
    </row>
    <row r="19" spans="1:14" ht="27" customHeight="1" x14ac:dyDescent="0.3">
      <c r="A19" s="4">
        <v>17</v>
      </c>
      <c r="B19" s="7">
        <f t="shared" si="0"/>
        <v>0.61199999999999999</v>
      </c>
      <c r="C19" s="8">
        <v>3</v>
      </c>
      <c r="D19" s="8" t="s">
        <v>75</v>
      </c>
      <c r="E19" s="5" t="s">
        <v>31</v>
      </c>
      <c r="H19" s="5" t="s">
        <v>3</v>
      </c>
      <c r="I19" s="4"/>
      <c r="K19" s="5" t="s">
        <v>7</v>
      </c>
      <c r="L19" s="4">
        <v>0.61199999999999999</v>
      </c>
      <c r="M19" s="3" t="s">
        <v>38</v>
      </c>
      <c r="N19" s="6"/>
    </row>
    <row r="20" spans="1:14" ht="27" customHeight="1" x14ac:dyDescent="0.3">
      <c r="A20" s="4">
        <v>18</v>
      </c>
      <c r="B20" s="7">
        <f t="shared" si="0"/>
        <v>0.84699999999999998</v>
      </c>
      <c r="C20" s="8">
        <v>3</v>
      </c>
      <c r="D20" s="8" t="s">
        <v>7</v>
      </c>
      <c r="E20" s="5" t="s">
        <v>31</v>
      </c>
      <c r="H20" s="5" t="s">
        <v>7</v>
      </c>
      <c r="I20" s="4">
        <v>0.84699999999999998</v>
      </c>
      <c r="J20" s="3" t="s">
        <v>9</v>
      </c>
      <c r="K20" s="5" t="s">
        <v>30</v>
      </c>
      <c r="L20" s="4">
        <v>0.84699999999999998</v>
      </c>
      <c r="M20" s="3" t="s">
        <v>33</v>
      </c>
      <c r="N20" s="6"/>
    </row>
    <row r="21" spans="1:14" ht="27" customHeight="1" x14ac:dyDescent="0.3">
      <c r="A21" s="4">
        <v>19</v>
      </c>
      <c r="B21" s="7">
        <f t="shared" si="0"/>
        <v>0.63300000000000001</v>
      </c>
      <c r="C21" s="8">
        <v>3</v>
      </c>
      <c r="D21" s="8" t="s">
        <v>30</v>
      </c>
      <c r="E21" s="5" t="s">
        <v>7</v>
      </c>
      <c r="F21" s="4">
        <v>0.63300000000000001</v>
      </c>
      <c r="G21" s="3" t="s">
        <v>33</v>
      </c>
      <c r="H21" s="5" t="s">
        <v>7</v>
      </c>
      <c r="I21" s="4">
        <v>0.63300000000000001</v>
      </c>
      <c r="J21" s="3" t="s">
        <v>9</v>
      </c>
      <c r="K21" s="5" t="s">
        <v>4</v>
      </c>
      <c r="N21" s="6"/>
    </row>
    <row r="22" spans="1:14" ht="27" customHeight="1" x14ac:dyDescent="0.3">
      <c r="A22" s="4">
        <v>20</v>
      </c>
      <c r="B22" s="7">
        <f t="shared" si="0"/>
        <v>0.47399999999999998</v>
      </c>
      <c r="C22" s="8">
        <v>3</v>
      </c>
      <c r="D22" s="8" t="s">
        <v>7</v>
      </c>
      <c r="E22" s="5" t="s">
        <v>31</v>
      </c>
      <c r="H22" s="5" t="s">
        <v>7</v>
      </c>
      <c r="I22" s="4">
        <v>0.47399999999999998</v>
      </c>
      <c r="J22" s="3" t="s">
        <v>9</v>
      </c>
      <c r="K22" s="5" t="s">
        <v>7</v>
      </c>
      <c r="L22" s="4">
        <v>0.47399999999999998</v>
      </c>
      <c r="M22" s="3" t="s">
        <v>33</v>
      </c>
      <c r="N22" s="6"/>
    </row>
    <row r="23" spans="1:14" ht="27" customHeight="1" x14ac:dyDescent="0.3">
      <c r="A23" s="4">
        <v>21</v>
      </c>
      <c r="B23" s="7">
        <f t="shared" si="0"/>
        <v>0.90233333333333343</v>
      </c>
      <c r="C23" s="8">
        <v>3</v>
      </c>
      <c r="D23" s="8" t="s">
        <v>7</v>
      </c>
      <c r="E23" s="5" t="s">
        <v>30</v>
      </c>
      <c r="F23" s="4">
        <v>0.90300000000000002</v>
      </c>
      <c r="G23" s="3" t="s">
        <v>12</v>
      </c>
      <c r="H23" s="5" t="s">
        <v>7</v>
      </c>
      <c r="I23" s="4">
        <v>0.90200000000000002</v>
      </c>
      <c r="J23" s="3" t="s">
        <v>14</v>
      </c>
      <c r="K23" s="5" t="s">
        <v>7</v>
      </c>
      <c r="L23" s="4">
        <v>0.90200000000000002</v>
      </c>
      <c r="M23" s="3" t="s">
        <v>12</v>
      </c>
      <c r="N23" s="6"/>
    </row>
    <row r="24" spans="1:14" ht="27" customHeight="1" x14ac:dyDescent="0.3">
      <c r="A24" s="4">
        <v>22</v>
      </c>
      <c r="B24" s="7" t="str">
        <f t="shared" si="0"/>
        <v/>
      </c>
      <c r="C24" s="8"/>
      <c r="D24" s="8" t="s">
        <v>72</v>
      </c>
      <c r="E24" s="5" t="s">
        <v>31</v>
      </c>
      <c r="H24" s="5" t="s">
        <v>3</v>
      </c>
      <c r="I24" s="4"/>
      <c r="K24" s="5" t="s">
        <v>3</v>
      </c>
      <c r="N24" s="6"/>
    </row>
    <row r="25" spans="1:14" ht="27" customHeight="1" x14ac:dyDescent="0.3">
      <c r="A25" s="4">
        <v>23</v>
      </c>
      <c r="B25" s="7">
        <f t="shared" si="0"/>
        <v>0.5655</v>
      </c>
      <c r="C25" s="8">
        <v>3</v>
      </c>
      <c r="D25" s="8" t="s">
        <v>7</v>
      </c>
      <c r="E25" s="5" t="s">
        <v>30</v>
      </c>
      <c r="F25" s="4">
        <v>0.5655</v>
      </c>
      <c r="G25" s="3" t="s">
        <v>33</v>
      </c>
      <c r="H25" s="5" t="s">
        <v>7</v>
      </c>
      <c r="I25" s="4">
        <v>0.56599999999999995</v>
      </c>
      <c r="J25" s="3" t="s">
        <v>6</v>
      </c>
      <c r="K25" s="5" t="s">
        <v>7</v>
      </c>
      <c r="L25" s="4">
        <v>0.56499999999999995</v>
      </c>
      <c r="M25" s="3" t="s">
        <v>33</v>
      </c>
      <c r="N25" s="6"/>
    </row>
    <row r="26" spans="1:14" ht="27" customHeight="1" x14ac:dyDescent="0.3">
      <c r="A26" s="4">
        <v>24</v>
      </c>
      <c r="B26" s="7">
        <f t="shared" si="0"/>
        <v>0.84833333333333327</v>
      </c>
      <c r="C26" s="8">
        <v>3</v>
      </c>
      <c r="D26" s="8" t="s">
        <v>7</v>
      </c>
      <c r="E26" s="5" t="s">
        <v>30</v>
      </c>
      <c r="F26" s="4">
        <v>0.84899999999999998</v>
      </c>
      <c r="G26" s="3" t="s">
        <v>33</v>
      </c>
      <c r="H26" s="5" t="s">
        <v>7</v>
      </c>
      <c r="I26" s="4">
        <v>0.84799999999999998</v>
      </c>
      <c r="J26" s="3" t="s">
        <v>15</v>
      </c>
      <c r="K26" s="5" t="s">
        <v>30</v>
      </c>
      <c r="L26" s="4">
        <v>0.84799999999999998</v>
      </c>
      <c r="M26" s="3" t="s">
        <v>38</v>
      </c>
      <c r="N26" s="6"/>
    </row>
    <row r="27" spans="1:14" ht="27" customHeight="1" x14ac:dyDescent="0.3">
      <c r="A27" s="4">
        <v>25</v>
      </c>
      <c r="B27" s="7">
        <f t="shared" si="0"/>
        <v>0.63300000000000001</v>
      </c>
      <c r="C27" s="8">
        <v>3</v>
      </c>
      <c r="D27" s="8" t="s">
        <v>7</v>
      </c>
      <c r="E27" s="5" t="s">
        <v>31</v>
      </c>
      <c r="H27" s="5" t="s">
        <v>7</v>
      </c>
      <c r="I27" s="4">
        <v>0.63300000000000001</v>
      </c>
      <c r="J27" s="3" t="s">
        <v>9</v>
      </c>
      <c r="K27" s="5" t="s">
        <v>30</v>
      </c>
      <c r="L27" s="4">
        <v>0.63300000000000001</v>
      </c>
      <c r="M27" s="3" t="s">
        <v>9</v>
      </c>
      <c r="N27" s="6"/>
    </row>
    <row r="28" spans="1:14" ht="27" customHeight="1" x14ac:dyDescent="0.3">
      <c r="A28" s="4">
        <v>26</v>
      </c>
      <c r="B28" s="7">
        <f t="shared" si="0"/>
        <v>0.6745000000000001</v>
      </c>
      <c r="C28" s="8">
        <v>3</v>
      </c>
      <c r="D28" s="8" t="s">
        <v>7</v>
      </c>
      <c r="E28" s="5" t="s">
        <v>41</v>
      </c>
      <c r="H28" s="5" t="s">
        <v>7</v>
      </c>
      <c r="I28" s="4">
        <v>0.67500000000000004</v>
      </c>
      <c r="J28" s="3" t="s">
        <v>16</v>
      </c>
      <c r="K28" s="5" t="s">
        <v>26</v>
      </c>
      <c r="L28" s="4">
        <v>0.67400000000000004</v>
      </c>
      <c r="M28" s="3" t="s">
        <v>34</v>
      </c>
      <c r="N28" s="6" t="s">
        <v>17</v>
      </c>
    </row>
    <row r="29" spans="1:14" ht="27" customHeight="1" x14ac:dyDescent="0.3">
      <c r="A29" s="4">
        <v>27</v>
      </c>
      <c r="B29" s="7">
        <f t="shared" si="0"/>
        <v>0.63</v>
      </c>
      <c r="C29" s="8">
        <v>3</v>
      </c>
      <c r="D29" s="8" t="s">
        <v>75</v>
      </c>
      <c r="E29" s="5" t="s">
        <v>41</v>
      </c>
      <c r="H29" s="5" t="s">
        <v>4</v>
      </c>
      <c r="I29" s="4"/>
      <c r="K29" s="5" t="s">
        <v>30</v>
      </c>
      <c r="L29" s="4">
        <v>0.63</v>
      </c>
      <c r="M29" s="3" t="s">
        <v>34</v>
      </c>
      <c r="N29" s="6"/>
    </row>
    <row r="30" spans="1:14" ht="27" customHeight="1" x14ac:dyDescent="0.3">
      <c r="A30" s="4">
        <v>28</v>
      </c>
      <c r="B30" s="7">
        <f t="shared" si="0"/>
        <v>0.56999999999999995</v>
      </c>
      <c r="C30" s="8">
        <v>3</v>
      </c>
      <c r="D30" s="8" t="s">
        <v>69</v>
      </c>
      <c r="E30" s="5" t="s">
        <v>31</v>
      </c>
      <c r="H30" s="5" t="s">
        <v>5</v>
      </c>
      <c r="I30" s="4">
        <v>0.56999999999999995</v>
      </c>
      <c r="J30" s="3" t="s">
        <v>6</v>
      </c>
      <c r="K30" s="5" t="s">
        <v>26</v>
      </c>
      <c r="L30" s="4">
        <v>0.56999999999999995</v>
      </c>
      <c r="M30" s="3" t="s">
        <v>33</v>
      </c>
      <c r="N30" s="6"/>
    </row>
    <row r="31" spans="1:14" ht="27" customHeight="1" x14ac:dyDescent="0.3">
      <c r="A31" s="4">
        <v>29</v>
      </c>
      <c r="B31" s="7">
        <f t="shared" si="0"/>
        <v>0.56416666666666659</v>
      </c>
      <c r="C31" s="8">
        <v>3</v>
      </c>
      <c r="D31" s="8" t="s">
        <v>7</v>
      </c>
      <c r="E31" s="5" t="s">
        <v>30</v>
      </c>
      <c r="F31" s="4">
        <v>0.56499999999999995</v>
      </c>
      <c r="G31" s="3" t="s">
        <v>33</v>
      </c>
      <c r="H31" s="5" t="s">
        <v>7</v>
      </c>
      <c r="I31" s="4">
        <v>0.56399999999999995</v>
      </c>
      <c r="J31" s="3" t="s">
        <v>6</v>
      </c>
      <c r="K31" s="5" t="s">
        <v>26</v>
      </c>
      <c r="L31" s="4">
        <v>0.5635</v>
      </c>
      <c r="M31" s="3" t="s">
        <v>6</v>
      </c>
      <c r="N31" s="6"/>
    </row>
    <row r="32" spans="1:14" ht="27" customHeight="1" x14ac:dyDescent="0.3">
      <c r="A32" s="4">
        <v>30</v>
      </c>
      <c r="B32" s="7">
        <f t="shared" si="0"/>
        <v>0.628</v>
      </c>
      <c r="C32" s="8">
        <v>3</v>
      </c>
      <c r="D32" s="8" t="s">
        <v>7</v>
      </c>
      <c r="E32" s="5" t="s">
        <v>30</v>
      </c>
      <c r="F32" s="4">
        <v>0.628</v>
      </c>
      <c r="G32" s="3" t="s">
        <v>33</v>
      </c>
      <c r="H32" s="5" t="s">
        <v>7</v>
      </c>
      <c r="I32" s="4">
        <v>0.628</v>
      </c>
      <c r="J32" s="3" t="s">
        <v>8</v>
      </c>
      <c r="K32" s="5" t="s">
        <v>7</v>
      </c>
      <c r="L32" s="4">
        <v>0.628</v>
      </c>
      <c r="M32" s="3" t="s">
        <v>8</v>
      </c>
      <c r="N32" s="6"/>
    </row>
    <row r="33" spans="1:14" ht="27" customHeight="1" x14ac:dyDescent="0.3">
      <c r="A33" s="4">
        <v>31</v>
      </c>
      <c r="B33" s="7" t="str">
        <f t="shared" si="0"/>
        <v/>
      </c>
      <c r="C33" s="8"/>
      <c r="D33" s="8" t="s">
        <v>73</v>
      </c>
      <c r="E33" s="5" t="s">
        <v>43</v>
      </c>
      <c r="H33" s="5" t="s">
        <v>18</v>
      </c>
      <c r="I33" s="4"/>
      <c r="K33" s="5" t="s">
        <v>18</v>
      </c>
      <c r="N33" s="6"/>
    </row>
    <row r="34" spans="1:14" ht="27" customHeight="1" x14ac:dyDescent="0.3">
      <c r="A34" s="4">
        <v>32</v>
      </c>
      <c r="B34" s="7">
        <f t="shared" si="0"/>
        <v>1.09975</v>
      </c>
      <c r="C34" s="8">
        <v>2</v>
      </c>
      <c r="D34" s="8" t="s">
        <v>69</v>
      </c>
      <c r="E34" s="5" t="s">
        <v>31</v>
      </c>
      <c r="H34" s="5" t="s">
        <v>5</v>
      </c>
      <c r="I34" s="4">
        <v>1.1000000000000001</v>
      </c>
      <c r="J34" s="3" t="s">
        <v>12</v>
      </c>
      <c r="K34" s="5" t="s">
        <v>5</v>
      </c>
      <c r="L34" s="4">
        <v>1.0994999999999999</v>
      </c>
      <c r="M34" s="3" t="s">
        <v>12</v>
      </c>
      <c r="N34" s="6"/>
    </row>
    <row r="35" spans="1:14" ht="27" customHeight="1" x14ac:dyDescent="0.3">
      <c r="A35" s="4">
        <v>33</v>
      </c>
      <c r="B35" s="7">
        <f t="shared" ref="B35:B66" si="1">IFERROR(AVERAGE(F35,L35,I35),"")</f>
        <v>0.68400000000000005</v>
      </c>
      <c r="C35" s="8">
        <v>3</v>
      </c>
      <c r="D35" s="8" t="s">
        <v>69</v>
      </c>
      <c r="E35" s="5" t="s">
        <v>31</v>
      </c>
      <c r="H35" s="5" t="s">
        <v>5</v>
      </c>
      <c r="I35" s="4">
        <v>0.68400000000000005</v>
      </c>
      <c r="J35" s="3" t="s">
        <v>9</v>
      </c>
      <c r="K35" s="5" t="s">
        <v>5</v>
      </c>
      <c r="L35" s="4">
        <v>0.68400000000000005</v>
      </c>
      <c r="M35" s="3" t="s">
        <v>9</v>
      </c>
      <c r="N35" s="6"/>
    </row>
    <row r="36" spans="1:14" ht="27" customHeight="1" x14ac:dyDescent="0.3">
      <c r="A36" s="4">
        <v>34</v>
      </c>
      <c r="B36" s="7">
        <f t="shared" si="1"/>
        <v>0.65683333333333327</v>
      </c>
      <c r="C36" s="8">
        <v>3</v>
      </c>
      <c r="D36" s="8" t="s">
        <v>7</v>
      </c>
      <c r="E36" s="5" t="s">
        <v>26</v>
      </c>
      <c r="F36" s="4">
        <v>0.65700000000000003</v>
      </c>
      <c r="G36" s="3" t="s">
        <v>59</v>
      </c>
      <c r="H36" s="5" t="s">
        <v>7</v>
      </c>
      <c r="I36" s="4">
        <v>0.65700000000000003</v>
      </c>
      <c r="J36" s="3" t="s">
        <v>8</v>
      </c>
      <c r="K36" s="5" t="s">
        <v>30</v>
      </c>
      <c r="L36" s="4">
        <v>0.65649999999999997</v>
      </c>
      <c r="M36" s="3" t="s">
        <v>8</v>
      </c>
      <c r="N36" s="6"/>
    </row>
    <row r="37" spans="1:14" ht="27" customHeight="1" x14ac:dyDescent="0.3">
      <c r="A37" s="4">
        <v>35</v>
      </c>
      <c r="B37" s="7">
        <f t="shared" si="1"/>
        <v>0.65649999999999997</v>
      </c>
      <c r="C37" s="8">
        <v>3</v>
      </c>
      <c r="D37" s="8" t="s">
        <v>69</v>
      </c>
      <c r="E37" s="5" t="s">
        <v>30</v>
      </c>
      <c r="F37" s="4">
        <v>0.65500000000000003</v>
      </c>
      <c r="G37" s="3" t="s">
        <v>34</v>
      </c>
      <c r="H37" s="5" t="s">
        <v>5</v>
      </c>
      <c r="I37" s="4">
        <v>0.65700000000000003</v>
      </c>
      <c r="J37" s="3" t="s">
        <v>34</v>
      </c>
      <c r="K37" s="5" t="s">
        <v>26</v>
      </c>
      <c r="L37" s="4">
        <v>0.65749999999999997</v>
      </c>
      <c r="M37" s="3" t="s">
        <v>16</v>
      </c>
      <c r="N37" s="6" t="s">
        <v>40</v>
      </c>
    </row>
    <row r="38" spans="1:14" ht="27" customHeight="1" x14ac:dyDescent="0.3">
      <c r="A38" s="4">
        <v>36</v>
      </c>
      <c r="B38" s="7">
        <f t="shared" si="1"/>
        <v>0.52800000000000002</v>
      </c>
      <c r="C38" s="8">
        <v>3</v>
      </c>
      <c r="D38" s="8" t="s">
        <v>75</v>
      </c>
      <c r="E38" s="5" t="s">
        <v>41</v>
      </c>
      <c r="H38" s="5" t="s">
        <v>7</v>
      </c>
      <c r="I38" s="4">
        <v>0.52800000000000002</v>
      </c>
      <c r="J38" s="3" t="s">
        <v>9</v>
      </c>
      <c r="K38" s="5" t="s">
        <v>41</v>
      </c>
      <c r="N38" s="6"/>
    </row>
    <row r="39" spans="1:14" ht="27" customHeight="1" x14ac:dyDescent="0.3">
      <c r="A39" s="4">
        <v>37</v>
      </c>
      <c r="B39" s="7" t="str">
        <f t="shared" si="1"/>
        <v/>
      </c>
      <c r="C39" s="8"/>
      <c r="D39" s="8" t="s">
        <v>71</v>
      </c>
      <c r="E39" s="5" t="s">
        <v>41</v>
      </c>
      <c r="H39" s="5" t="s">
        <v>4</v>
      </c>
      <c r="I39" s="4"/>
      <c r="K39" s="5" t="s">
        <v>41</v>
      </c>
      <c r="N39" s="6"/>
    </row>
    <row r="40" spans="1:14" ht="27" customHeight="1" x14ac:dyDescent="0.3">
      <c r="A40" s="4">
        <v>38</v>
      </c>
      <c r="B40" s="7" t="str">
        <f t="shared" si="1"/>
        <v/>
      </c>
      <c r="C40" s="8"/>
      <c r="D40" s="8" t="s">
        <v>71</v>
      </c>
      <c r="E40" s="5" t="s">
        <v>41</v>
      </c>
      <c r="H40" s="5" t="s">
        <v>4</v>
      </c>
      <c r="I40" s="4"/>
      <c r="K40" s="5" t="s">
        <v>41</v>
      </c>
      <c r="N40" s="6"/>
    </row>
    <row r="41" spans="1:14" ht="27" customHeight="1" x14ac:dyDescent="0.3">
      <c r="A41" s="4">
        <v>39</v>
      </c>
      <c r="B41" s="7">
        <f t="shared" si="1"/>
        <v>0.56649999999999989</v>
      </c>
      <c r="C41" s="8">
        <v>3</v>
      </c>
      <c r="D41" s="8" t="s">
        <v>7</v>
      </c>
      <c r="E41" s="5" t="s">
        <v>26</v>
      </c>
      <c r="F41" s="4">
        <v>0.56599999999999995</v>
      </c>
      <c r="G41" s="3" t="s">
        <v>33</v>
      </c>
      <c r="H41" s="5" t="s">
        <v>7</v>
      </c>
      <c r="I41" s="4">
        <v>0.56699999999999995</v>
      </c>
      <c r="J41" s="3" t="s">
        <v>8</v>
      </c>
      <c r="K41" s="5" t="s">
        <v>30</v>
      </c>
      <c r="L41" s="4">
        <v>0.5665</v>
      </c>
      <c r="M41" s="3" t="s">
        <v>34</v>
      </c>
      <c r="N41" s="6"/>
    </row>
    <row r="42" spans="1:14" ht="27" customHeight="1" x14ac:dyDescent="0.3">
      <c r="A42" s="4">
        <v>40</v>
      </c>
      <c r="B42" s="7">
        <f t="shared" si="1"/>
        <v>0.61450000000000005</v>
      </c>
      <c r="C42" s="8">
        <v>3</v>
      </c>
      <c r="D42" s="8" t="s">
        <v>7</v>
      </c>
      <c r="E42" s="5" t="s">
        <v>30</v>
      </c>
      <c r="F42" s="4">
        <v>0.61499999999999999</v>
      </c>
      <c r="G42" s="3" t="s">
        <v>33</v>
      </c>
      <c r="H42" s="5" t="s">
        <v>5</v>
      </c>
      <c r="I42" s="4">
        <v>0.61399999999999999</v>
      </c>
      <c r="J42" s="3" t="s">
        <v>8</v>
      </c>
      <c r="K42" s="5" t="s">
        <v>30</v>
      </c>
      <c r="L42" s="4">
        <v>0.61450000000000005</v>
      </c>
      <c r="M42" s="3" t="s">
        <v>8</v>
      </c>
      <c r="N42" s="6"/>
    </row>
    <row r="43" spans="1:14" ht="27" customHeight="1" x14ac:dyDescent="0.3">
      <c r="A43" s="4">
        <v>41</v>
      </c>
      <c r="B43" s="7" t="str">
        <f t="shared" si="1"/>
        <v/>
      </c>
      <c r="C43" s="8"/>
      <c r="D43" s="8" t="s">
        <v>71</v>
      </c>
      <c r="E43" s="5" t="s">
        <v>41</v>
      </c>
      <c r="H43" s="5" t="s">
        <v>4</v>
      </c>
      <c r="I43" s="4"/>
      <c r="K43" s="5" t="s">
        <v>41</v>
      </c>
      <c r="N43" s="6"/>
    </row>
    <row r="44" spans="1:14" ht="27" customHeight="1" x14ac:dyDescent="0.3">
      <c r="A44" s="4">
        <v>42</v>
      </c>
      <c r="B44" s="7">
        <f t="shared" si="1"/>
        <v>0.61</v>
      </c>
      <c r="C44" s="8">
        <v>3</v>
      </c>
      <c r="D44" s="8" t="s">
        <v>69</v>
      </c>
      <c r="E44" s="5" t="s">
        <v>31</v>
      </c>
      <c r="H44" s="5" t="s">
        <v>5</v>
      </c>
      <c r="I44" s="4">
        <v>0.61</v>
      </c>
      <c r="J44" s="3" t="s">
        <v>8</v>
      </c>
      <c r="K44" s="5" t="s">
        <v>26</v>
      </c>
      <c r="L44" s="4">
        <v>0.61</v>
      </c>
      <c r="M44" s="3" t="s">
        <v>9</v>
      </c>
      <c r="N44" s="6"/>
    </row>
    <row r="45" spans="1:14" ht="27" customHeight="1" x14ac:dyDescent="0.3">
      <c r="A45" s="4">
        <v>43</v>
      </c>
      <c r="B45" s="7">
        <f t="shared" si="1"/>
        <v>0.56025000000000003</v>
      </c>
      <c r="C45" s="8">
        <v>3</v>
      </c>
      <c r="D45" s="8" t="s">
        <v>7</v>
      </c>
      <c r="E45" s="5" t="s">
        <v>31</v>
      </c>
      <c r="H45" s="5" t="s">
        <v>7</v>
      </c>
      <c r="I45" s="4">
        <v>0.56000000000000005</v>
      </c>
      <c r="J45" s="3" t="s">
        <v>9</v>
      </c>
      <c r="K45" s="5" t="s">
        <v>30</v>
      </c>
      <c r="L45" s="4">
        <v>0.5605</v>
      </c>
      <c r="M45" s="3" t="s">
        <v>9</v>
      </c>
      <c r="N45" s="6"/>
    </row>
    <row r="46" spans="1:14" ht="27" customHeight="1" x14ac:dyDescent="0.3">
      <c r="A46" s="4">
        <v>44</v>
      </c>
      <c r="B46" s="7" t="str">
        <f t="shared" si="1"/>
        <v/>
      </c>
      <c r="C46" s="8"/>
      <c r="D46" s="8" t="s">
        <v>71</v>
      </c>
      <c r="E46" s="5" t="s">
        <v>41</v>
      </c>
      <c r="H46" s="5" t="s">
        <v>4</v>
      </c>
      <c r="I46" s="4"/>
      <c r="K46" s="5" t="s">
        <v>41</v>
      </c>
      <c r="N46" s="6"/>
    </row>
    <row r="47" spans="1:14" ht="27" customHeight="1" x14ac:dyDescent="0.3">
      <c r="A47" s="4">
        <v>45</v>
      </c>
      <c r="B47" s="7">
        <f t="shared" si="1"/>
        <v>0.60633333333333328</v>
      </c>
      <c r="C47" s="8">
        <v>3</v>
      </c>
      <c r="D47" s="8" t="s">
        <v>7</v>
      </c>
      <c r="E47" s="5" t="s">
        <v>30</v>
      </c>
      <c r="F47" s="4">
        <v>0.60699999999999998</v>
      </c>
      <c r="G47" s="3" t="s">
        <v>9</v>
      </c>
      <c r="H47" s="5" t="s">
        <v>7</v>
      </c>
      <c r="I47" s="4">
        <v>0.60599999999999998</v>
      </c>
      <c r="J47" s="3" t="s">
        <v>9</v>
      </c>
      <c r="K47" s="5" t="s">
        <v>30</v>
      </c>
      <c r="L47" s="4">
        <v>0.60599999999999998</v>
      </c>
      <c r="M47" s="3" t="s">
        <v>9</v>
      </c>
      <c r="N47" s="6"/>
    </row>
    <row r="48" spans="1:14" ht="27" customHeight="1" x14ac:dyDescent="0.3">
      <c r="A48" s="4">
        <v>46</v>
      </c>
      <c r="B48" s="7" t="str">
        <f t="shared" si="1"/>
        <v/>
      </c>
      <c r="C48" s="8"/>
      <c r="D48" s="8" t="s">
        <v>71</v>
      </c>
      <c r="E48" s="5" t="s">
        <v>41</v>
      </c>
      <c r="H48" s="5" t="s">
        <v>4</v>
      </c>
      <c r="I48" s="4"/>
      <c r="K48" s="5" t="s">
        <v>41</v>
      </c>
      <c r="N48" s="6"/>
    </row>
    <row r="49" spans="1:14" ht="27" customHeight="1" x14ac:dyDescent="0.3">
      <c r="A49" s="4">
        <v>47</v>
      </c>
      <c r="B49" s="7">
        <f t="shared" si="1"/>
        <v>0.78400000000000014</v>
      </c>
      <c r="C49" s="8">
        <v>3</v>
      </c>
      <c r="D49" s="8" t="s">
        <v>7</v>
      </c>
      <c r="E49" s="5" t="s">
        <v>5</v>
      </c>
      <c r="F49" s="4">
        <v>0.78449999999999998</v>
      </c>
      <c r="G49" s="3" t="s">
        <v>19</v>
      </c>
      <c r="H49" s="5" t="s">
        <v>5</v>
      </c>
      <c r="I49" s="4">
        <v>0.78400000000000003</v>
      </c>
      <c r="J49" s="3" t="s">
        <v>19</v>
      </c>
      <c r="K49" s="5" t="s">
        <v>30</v>
      </c>
      <c r="L49" s="4">
        <v>0.78349999999999997</v>
      </c>
      <c r="M49" s="3" t="s">
        <v>9</v>
      </c>
      <c r="N49" s="6"/>
    </row>
    <row r="50" spans="1:14" ht="27" customHeight="1" x14ac:dyDescent="0.3">
      <c r="A50" s="4">
        <v>48</v>
      </c>
      <c r="B50" s="7">
        <f t="shared" si="1"/>
        <v>0.78425</v>
      </c>
      <c r="C50" s="8">
        <v>3</v>
      </c>
      <c r="D50" s="8" t="s">
        <v>7</v>
      </c>
      <c r="E50" s="5" t="s">
        <v>31</v>
      </c>
      <c r="H50" s="5" t="s">
        <v>7</v>
      </c>
      <c r="I50" s="4">
        <v>0.78400000000000003</v>
      </c>
      <c r="J50" s="3" t="s">
        <v>9</v>
      </c>
      <c r="K50" s="5" t="s">
        <v>30</v>
      </c>
      <c r="L50" s="4">
        <v>0.78449999999999998</v>
      </c>
      <c r="M50" s="3" t="s">
        <v>33</v>
      </c>
      <c r="N50" s="6"/>
    </row>
    <row r="51" spans="1:14" ht="27" customHeight="1" x14ac:dyDescent="0.3">
      <c r="A51" s="4">
        <v>49</v>
      </c>
      <c r="B51" s="7">
        <f t="shared" si="1"/>
        <v>0.66600000000000004</v>
      </c>
      <c r="C51" s="8">
        <v>3</v>
      </c>
      <c r="D51" s="8" t="s">
        <v>69</v>
      </c>
      <c r="E51" s="5" t="s">
        <v>31</v>
      </c>
      <c r="H51" s="5" t="s">
        <v>26</v>
      </c>
      <c r="I51" s="4">
        <v>0.66600000000000004</v>
      </c>
      <c r="J51" s="3" t="s">
        <v>9</v>
      </c>
      <c r="K51" s="5" t="s">
        <v>26</v>
      </c>
      <c r="L51" s="4">
        <v>0.66600000000000004</v>
      </c>
      <c r="M51" s="3" t="s">
        <v>9</v>
      </c>
      <c r="N51" s="6"/>
    </row>
    <row r="52" spans="1:14" ht="27" customHeight="1" x14ac:dyDescent="0.3">
      <c r="A52" s="4">
        <v>50</v>
      </c>
      <c r="B52" s="7">
        <f t="shared" si="1"/>
        <v>0.84500000000000008</v>
      </c>
      <c r="C52" s="8">
        <v>3</v>
      </c>
      <c r="D52" s="8" t="s">
        <v>7</v>
      </c>
      <c r="E52" s="5" t="s">
        <v>26</v>
      </c>
      <c r="F52" s="4">
        <v>0.84499999999999997</v>
      </c>
      <c r="G52" s="3" t="s">
        <v>46</v>
      </c>
      <c r="H52" s="5" t="s">
        <v>30</v>
      </c>
      <c r="I52" s="4">
        <v>0.84499999999999997</v>
      </c>
      <c r="J52" s="3" t="s">
        <v>42</v>
      </c>
      <c r="K52" s="5" t="s">
        <v>30</v>
      </c>
      <c r="L52" s="4">
        <v>0.84499999999999997</v>
      </c>
      <c r="M52" s="3" t="s">
        <v>42</v>
      </c>
      <c r="N52" s="6"/>
    </row>
    <row r="53" spans="1:14" ht="27" customHeight="1" x14ac:dyDescent="0.3">
      <c r="A53" s="4">
        <v>51</v>
      </c>
      <c r="B53" s="7" t="str">
        <f t="shared" si="1"/>
        <v/>
      </c>
      <c r="C53" s="8"/>
      <c r="D53" s="8" t="s">
        <v>70</v>
      </c>
      <c r="E53" s="5" t="s">
        <v>32</v>
      </c>
      <c r="H53" s="5" t="s">
        <v>11</v>
      </c>
      <c r="I53" s="4"/>
      <c r="K53" s="5" t="s">
        <v>32</v>
      </c>
      <c r="N53" s="6"/>
    </row>
    <row r="54" spans="1:14" ht="27" customHeight="1" x14ac:dyDescent="0.3">
      <c r="A54" s="4">
        <v>52</v>
      </c>
      <c r="B54" s="7">
        <f t="shared" si="1"/>
        <v>0.61799999999999999</v>
      </c>
      <c r="C54" s="8">
        <v>3</v>
      </c>
      <c r="D54" s="8" t="s">
        <v>7</v>
      </c>
      <c r="E54" s="5" t="s">
        <v>31</v>
      </c>
      <c r="H54" s="5" t="s">
        <v>7</v>
      </c>
      <c r="I54" s="4">
        <v>0.61799999999999999</v>
      </c>
      <c r="J54" s="3" t="s">
        <v>9</v>
      </c>
      <c r="K54" s="5" t="s">
        <v>7</v>
      </c>
      <c r="L54" s="4">
        <v>0.61799999999999999</v>
      </c>
      <c r="M54" s="3" t="s">
        <v>9</v>
      </c>
      <c r="N54" s="6"/>
    </row>
    <row r="55" spans="1:14" ht="27" customHeight="1" x14ac:dyDescent="0.3">
      <c r="A55" s="4">
        <v>53</v>
      </c>
      <c r="B55" s="7" t="str">
        <f t="shared" si="1"/>
        <v/>
      </c>
      <c r="C55" s="8"/>
      <c r="D55" s="8" t="s">
        <v>73</v>
      </c>
      <c r="E55" s="5" t="s">
        <v>43</v>
      </c>
      <c r="H55" s="5" t="s">
        <v>18</v>
      </c>
      <c r="I55" s="4"/>
      <c r="K55" s="5" t="s">
        <v>43</v>
      </c>
      <c r="N55" s="6"/>
    </row>
    <row r="56" spans="1:14" ht="27" customHeight="1" x14ac:dyDescent="0.3">
      <c r="A56" s="4">
        <v>54</v>
      </c>
      <c r="B56" s="7">
        <f t="shared" si="1"/>
        <v>0.51424999999999998</v>
      </c>
      <c r="C56" s="8">
        <v>3</v>
      </c>
      <c r="D56" s="8" t="s">
        <v>7</v>
      </c>
      <c r="E56" s="5" t="s">
        <v>41</v>
      </c>
      <c r="H56" s="5" t="s">
        <v>7</v>
      </c>
      <c r="I56" s="4">
        <v>0.51400000000000001</v>
      </c>
      <c r="J56" s="3" t="s">
        <v>9</v>
      </c>
      <c r="K56" s="5" t="s">
        <v>30</v>
      </c>
      <c r="L56" s="4">
        <v>0.51449999999999996</v>
      </c>
      <c r="M56" s="3" t="s">
        <v>38</v>
      </c>
      <c r="N56" s="6" t="s">
        <v>20</v>
      </c>
    </row>
    <row r="57" spans="1:14" ht="27" customHeight="1" x14ac:dyDescent="0.3">
      <c r="A57" s="4">
        <v>55</v>
      </c>
      <c r="B57" s="7">
        <f t="shared" si="1"/>
        <v>0.51400000000000001</v>
      </c>
      <c r="C57" s="8">
        <v>3</v>
      </c>
      <c r="D57" s="8" t="s">
        <v>75</v>
      </c>
      <c r="E57" s="5" t="s">
        <v>41</v>
      </c>
      <c r="H57" s="5" t="s">
        <v>11</v>
      </c>
      <c r="I57" s="4"/>
      <c r="K57" s="5" t="s">
        <v>30</v>
      </c>
      <c r="L57" s="4">
        <v>0.51400000000000001</v>
      </c>
      <c r="M57" s="3" t="s">
        <v>9</v>
      </c>
      <c r="N57" s="6" t="s">
        <v>60</v>
      </c>
    </row>
    <row r="58" spans="1:14" ht="27" customHeight="1" x14ac:dyDescent="0.3">
      <c r="A58" s="4">
        <v>56</v>
      </c>
      <c r="B58" s="7">
        <f t="shared" si="1"/>
        <v>0.80275000000000007</v>
      </c>
      <c r="C58" s="8">
        <v>3</v>
      </c>
      <c r="D58" s="8" t="s">
        <v>69</v>
      </c>
      <c r="E58" s="5" t="s">
        <v>31</v>
      </c>
      <c r="H58" s="5" t="s">
        <v>5</v>
      </c>
      <c r="I58" s="4">
        <v>0.80300000000000005</v>
      </c>
      <c r="J58" s="3" t="s">
        <v>9</v>
      </c>
      <c r="K58" s="5" t="s">
        <v>26</v>
      </c>
      <c r="L58" s="4">
        <v>0.80249999999999999</v>
      </c>
      <c r="M58" s="3" t="s">
        <v>9</v>
      </c>
      <c r="N58" s="6"/>
    </row>
    <row r="59" spans="1:14" ht="27" customHeight="1" x14ac:dyDescent="0.3">
      <c r="A59" s="4">
        <v>57</v>
      </c>
      <c r="B59" s="7">
        <f t="shared" si="1"/>
        <v>0.78100000000000003</v>
      </c>
      <c r="C59" s="8">
        <v>3</v>
      </c>
      <c r="D59" s="8" t="s">
        <v>69</v>
      </c>
      <c r="E59" s="5" t="s">
        <v>31</v>
      </c>
      <c r="H59" s="5" t="s">
        <v>5</v>
      </c>
      <c r="I59" s="4">
        <v>0.78100000000000003</v>
      </c>
      <c r="J59" s="3" t="s">
        <v>9</v>
      </c>
      <c r="K59" s="5" t="s">
        <v>5</v>
      </c>
      <c r="L59" s="4">
        <v>0.78100000000000003</v>
      </c>
      <c r="M59" s="3" t="s">
        <v>9</v>
      </c>
      <c r="N59" s="6"/>
    </row>
    <row r="60" spans="1:14" ht="27" customHeight="1" x14ac:dyDescent="0.3">
      <c r="A60" s="4">
        <v>58</v>
      </c>
      <c r="B60" s="7">
        <f t="shared" si="1"/>
        <v>0.65900000000000003</v>
      </c>
      <c r="C60" s="8">
        <v>3</v>
      </c>
      <c r="D60" s="8" t="s">
        <v>74</v>
      </c>
      <c r="E60" s="5" t="s">
        <v>31</v>
      </c>
      <c r="H60" s="5" t="s">
        <v>3</v>
      </c>
      <c r="I60" s="4"/>
      <c r="K60" s="5" t="s">
        <v>26</v>
      </c>
      <c r="L60" s="4">
        <v>0.65900000000000003</v>
      </c>
      <c r="M60" s="3" t="s">
        <v>9</v>
      </c>
      <c r="N60" s="6"/>
    </row>
    <row r="61" spans="1:14" ht="27" customHeight="1" x14ac:dyDescent="0.3">
      <c r="A61" s="4">
        <v>59</v>
      </c>
      <c r="B61" s="7">
        <f t="shared" si="1"/>
        <v>0.82050000000000001</v>
      </c>
      <c r="C61" s="8">
        <v>3</v>
      </c>
      <c r="D61" s="8" t="s">
        <v>7</v>
      </c>
      <c r="E61" s="5" t="s">
        <v>31</v>
      </c>
      <c r="H61" s="5" t="s">
        <v>7</v>
      </c>
      <c r="I61" s="4">
        <v>0.82</v>
      </c>
      <c r="J61" s="3" t="s">
        <v>15</v>
      </c>
      <c r="K61" s="5" t="s">
        <v>7</v>
      </c>
      <c r="L61" s="4">
        <v>0.82099999999999995</v>
      </c>
      <c r="M61" s="3" t="s">
        <v>15</v>
      </c>
      <c r="N61" s="6"/>
    </row>
    <row r="62" spans="1:14" ht="27" customHeight="1" x14ac:dyDescent="0.3">
      <c r="A62" s="4">
        <v>60</v>
      </c>
      <c r="B62" s="7">
        <f t="shared" si="1"/>
        <v>0.66033333333333344</v>
      </c>
      <c r="C62" s="8">
        <v>3</v>
      </c>
      <c r="D62" s="8" t="s">
        <v>7</v>
      </c>
      <c r="E62" s="5" t="s">
        <v>30</v>
      </c>
      <c r="F62" s="4">
        <v>0.66100000000000003</v>
      </c>
      <c r="G62" s="3" t="s">
        <v>61</v>
      </c>
      <c r="H62" s="5" t="s">
        <v>7</v>
      </c>
      <c r="I62" s="4">
        <v>0.66</v>
      </c>
      <c r="J62" s="3" t="s">
        <v>38</v>
      </c>
      <c r="K62" s="5" t="s">
        <v>7</v>
      </c>
      <c r="L62" s="4">
        <v>0.66</v>
      </c>
      <c r="M62" s="3" t="s">
        <v>8</v>
      </c>
      <c r="N62" s="6"/>
    </row>
    <row r="63" spans="1:14" ht="27" customHeight="1" x14ac:dyDescent="0.3">
      <c r="A63" s="4">
        <v>61</v>
      </c>
      <c r="B63" s="7">
        <f t="shared" si="1"/>
        <v>0.51449999999999996</v>
      </c>
      <c r="C63" s="8">
        <v>3</v>
      </c>
      <c r="D63" s="8" t="s">
        <v>74</v>
      </c>
      <c r="E63" s="5" t="s">
        <v>41</v>
      </c>
      <c r="H63" s="5" t="s">
        <v>4</v>
      </c>
      <c r="I63" s="4"/>
      <c r="K63" s="5" t="s">
        <v>26</v>
      </c>
      <c r="L63" s="4">
        <v>0.51449999999999996</v>
      </c>
      <c r="M63" s="3" t="s">
        <v>9</v>
      </c>
      <c r="N63" s="6"/>
    </row>
    <row r="64" spans="1:14" ht="27" customHeight="1" x14ac:dyDescent="0.3">
      <c r="A64" s="4">
        <v>62</v>
      </c>
      <c r="B64" s="7" t="str">
        <f t="shared" si="1"/>
        <v/>
      </c>
      <c r="C64" s="8"/>
      <c r="D64" s="8" t="s">
        <v>71</v>
      </c>
      <c r="E64" s="5" t="s">
        <v>41</v>
      </c>
      <c r="H64" s="5" t="s">
        <v>4</v>
      </c>
      <c r="I64" s="4"/>
      <c r="K64" s="5" t="s">
        <v>41</v>
      </c>
      <c r="N64" s="6"/>
    </row>
    <row r="65" spans="1:14" ht="27" customHeight="1" x14ac:dyDescent="0.3">
      <c r="A65" s="4">
        <v>63</v>
      </c>
      <c r="B65" s="7">
        <f t="shared" si="1"/>
        <v>0.51400000000000001</v>
      </c>
      <c r="C65" s="8">
        <v>3</v>
      </c>
      <c r="D65" s="8" t="s">
        <v>7</v>
      </c>
      <c r="E65" s="5" t="s">
        <v>31</v>
      </c>
      <c r="H65" s="5" t="s">
        <v>7</v>
      </c>
      <c r="I65" s="4">
        <v>0.51400000000000001</v>
      </c>
      <c r="J65" s="3" t="s">
        <v>21</v>
      </c>
      <c r="K65" s="5" t="s">
        <v>7</v>
      </c>
      <c r="L65" s="4">
        <v>0.51400000000000001</v>
      </c>
      <c r="M65" s="3" t="s">
        <v>21</v>
      </c>
      <c r="N65" s="6"/>
    </row>
    <row r="66" spans="1:14" ht="27" customHeight="1" x14ac:dyDescent="0.3">
      <c r="A66" s="4">
        <v>64</v>
      </c>
      <c r="B66" s="7">
        <f t="shared" si="1"/>
        <v>0.80300000000000005</v>
      </c>
      <c r="C66" s="8">
        <v>3</v>
      </c>
      <c r="D66" s="8" t="s">
        <v>69</v>
      </c>
      <c r="E66" s="5" t="s">
        <v>31</v>
      </c>
      <c r="H66" s="5" t="s">
        <v>5</v>
      </c>
      <c r="I66" s="4">
        <v>0.80400000000000005</v>
      </c>
      <c r="J66" s="3" t="s">
        <v>6</v>
      </c>
      <c r="K66" s="5" t="s">
        <v>5</v>
      </c>
      <c r="L66" s="4">
        <v>0.80200000000000005</v>
      </c>
      <c r="M66" s="3" t="s">
        <v>6</v>
      </c>
      <c r="N66" s="6"/>
    </row>
    <row r="67" spans="1:14" ht="27" customHeight="1" x14ac:dyDescent="0.3">
      <c r="A67" s="4">
        <v>65</v>
      </c>
      <c r="B67" s="7">
        <f t="shared" ref="B67:B98" si="2">IFERROR(AVERAGE(F67,L67,I67),"")</f>
        <v>0.84050000000000002</v>
      </c>
      <c r="C67" s="8">
        <v>3</v>
      </c>
      <c r="D67" s="8" t="s">
        <v>7</v>
      </c>
      <c r="E67" s="5" t="s">
        <v>31</v>
      </c>
      <c r="H67" s="5" t="s">
        <v>7</v>
      </c>
      <c r="I67" s="4">
        <v>0.84</v>
      </c>
      <c r="J67" s="3" t="s">
        <v>14</v>
      </c>
      <c r="K67" s="5" t="s">
        <v>7</v>
      </c>
      <c r="L67" s="4">
        <v>0.84099999999999997</v>
      </c>
      <c r="M67" s="3" t="s">
        <v>14</v>
      </c>
      <c r="N67" s="6"/>
    </row>
    <row r="68" spans="1:14" ht="27" customHeight="1" x14ac:dyDescent="0.3">
      <c r="A68" s="4">
        <v>66</v>
      </c>
      <c r="B68" s="7" t="str">
        <f t="shared" si="2"/>
        <v/>
      </c>
      <c r="C68" s="8"/>
      <c r="D68" s="8" t="s">
        <v>73</v>
      </c>
      <c r="E68" s="5" t="s">
        <v>43</v>
      </c>
      <c r="H68" s="5" t="s">
        <v>18</v>
      </c>
      <c r="I68" s="4"/>
      <c r="K68" s="5" t="s">
        <v>43</v>
      </c>
      <c r="N68" s="6"/>
    </row>
    <row r="69" spans="1:14" ht="27" customHeight="1" x14ac:dyDescent="0.3">
      <c r="A69" s="4">
        <v>67</v>
      </c>
      <c r="B69" s="7">
        <f t="shared" si="2"/>
        <v>0.59399999999999997</v>
      </c>
      <c r="C69" s="8">
        <v>3</v>
      </c>
      <c r="D69" s="8" t="s">
        <v>69</v>
      </c>
      <c r="E69" s="5" t="s">
        <v>31</v>
      </c>
      <c r="H69" s="5" t="s">
        <v>5</v>
      </c>
      <c r="I69" s="4">
        <v>0.59399999999999997</v>
      </c>
      <c r="J69" s="3" t="s">
        <v>6</v>
      </c>
      <c r="K69" s="5" t="s">
        <v>5</v>
      </c>
      <c r="L69" s="4">
        <v>0.59399999999999997</v>
      </c>
      <c r="M69" s="3" t="s">
        <v>6</v>
      </c>
      <c r="N69" s="6"/>
    </row>
    <row r="70" spans="1:14" ht="27" customHeight="1" x14ac:dyDescent="0.3">
      <c r="A70" s="4">
        <v>68</v>
      </c>
      <c r="B70" s="7" t="str">
        <f t="shared" si="2"/>
        <v/>
      </c>
      <c r="C70" s="8"/>
      <c r="D70" s="8" t="s">
        <v>73</v>
      </c>
      <c r="E70" s="5" t="s">
        <v>43</v>
      </c>
      <c r="H70" s="5" t="s">
        <v>18</v>
      </c>
      <c r="I70" s="4"/>
      <c r="K70" s="5" t="s">
        <v>43</v>
      </c>
      <c r="N70" s="6"/>
    </row>
    <row r="71" spans="1:14" ht="27" customHeight="1" x14ac:dyDescent="0.3">
      <c r="A71" s="4">
        <v>69</v>
      </c>
      <c r="B71" s="7">
        <f t="shared" si="2"/>
        <v>0.65933333333333333</v>
      </c>
      <c r="C71" s="8">
        <v>3</v>
      </c>
      <c r="D71" s="8" t="s">
        <v>7</v>
      </c>
      <c r="E71" s="5" t="s">
        <v>26</v>
      </c>
      <c r="F71" s="4">
        <v>0.65949999999999998</v>
      </c>
      <c r="G71" s="3" t="s">
        <v>46</v>
      </c>
      <c r="H71" s="5" t="s">
        <v>7</v>
      </c>
      <c r="I71" s="4">
        <v>0.65900000000000003</v>
      </c>
      <c r="J71" s="3" t="s">
        <v>38</v>
      </c>
      <c r="K71" s="5" t="s">
        <v>26</v>
      </c>
      <c r="L71" s="4">
        <v>0.65949999999999998</v>
      </c>
      <c r="M71" s="3" t="s">
        <v>9</v>
      </c>
      <c r="N71" s="6"/>
    </row>
    <row r="72" spans="1:14" ht="27" customHeight="1" x14ac:dyDescent="0.3">
      <c r="A72" s="4">
        <v>70</v>
      </c>
      <c r="B72" s="7">
        <f t="shared" si="2"/>
        <v>0.67125000000000001</v>
      </c>
      <c r="C72" s="8">
        <v>3</v>
      </c>
      <c r="D72" s="8" t="s">
        <v>7</v>
      </c>
      <c r="E72" s="5" t="s">
        <v>31</v>
      </c>
      <c r="H72" s="5" t="s">
        <v>7</v>
      </c>
      <c r="I72" s="4">
        <v>0.67100000000000004</v>
      </c>
      <c r="J72" s="3" t="s">
        <v>9</v>
      </c>
      <c r="K72" s="5" t="s">
        <v>7</v>
      </c>
      <c r="L72" s="4">
        <v>0.67149999999999999</v>
      </c>
      <c r="M72" s="3" t="s">
        <v>9</v>
      </c>
      <c r="N72" s="6"/>
    </row>
    <row r="73" spans="1:14" ht="27" customHeight="1" x14ac:dyDescent="0.3">
      <c r="A73" s="4">
        <v>71</v>
      </c>
      <c r="B73" s="7">
        <f t="shared" si="2"/>
        <v>0.68149999999999999</v>
      </c>
      <c r="C73" s="8">
        <v>3</v>
      </c>
      <c r="D73" s="8" t="s">
        <v>7</v>
      </c>
      <c r="E73" s="5" t="s">
        <v>31</v>
      </c>
      <c r="H73" s="5" t="s">
        <v>7</v>
      </c>
      <c r="I73" s="4">
        <v>0.68100000000000005</v>
      </c>
      <c r="J73" s="3" t="s">
        <v>9</v>
      </c>
      <c r="K73" s="5" t="s">
        <v>7</v>
      </c>
      <c r="L73" s="4">
        <v>0.68200000000000005</v>
      </c>
      <c r="M73" s="3" t="s">
        <v>9</v>
      </c>
      <c r="N73" s="6"/>
    </row>
    <row r="74" spans="1:14" ht="27" customHeight="1" x14ac:dyDescent="0.3">
      <c r="A74" s="4">
        <v>72</v>
      </c>
      <c r="B74" s="7">
        <f t="shared" si="2"/>
        <v>0.6835</v>
      </c>
      <c r="C74" s="8">
        <v>3</v>
      </c>
      <c r="D74" s="8" t="s">
        <v>7</v>
      </c>
      <c r="E74" s="5" t="s">
        <v>31</v>
      </c>
      <c r="H74" s="5" t="s">
        <v>7</v>
      </c>
      <c r="I74" s="4">
        <v>0.68400000000000005</v>
      </c>
      <c r="J74" s="3" t="s">
        <v>10</v>
      </c>
      <c r="K74" s="5" t="s">
        <v>7</v>
      </c>
      <c r="L74" s="4">
        <v>0.68300000000000005</v>
      </c>
      <c r="M74" s="3" t="s">
        <v>10</v>
      </c>
      <c r="N74" s="6"/>
    </row>
    <row r="75" spans="1:14" ht="27" customHeight="1" x14ac:dyDescent="0.3">
      <c r="A75" s="4">
        <v>73</v>
      </c>
      <c r="B75" s="7" t="str">
        <f t="shared" si="2"/>
        <v/>
      </c>
      <c r="C75" s="8"/>
      <c r="D75" s="8" t="s">
        <v>73</v>
      </c>
      <c r="E75" s="5" t="s">
        <v>43</v>
      </c>
      <c r="H75" s="5" t="s">
        <v>18</v>
      </c>
      <c r="I75" s="4"/>
      <c r="K75" s="5" t="s">
        <v>43</v>
      </c>
      <c r="N75" s="6"/>
    </row>
    <row r="76" spans="1:14" ht="27" customHeight="1" x14ac:dyDescent="0.3">
      <c r="A76" s="4">
        <v>74</v>
      </c>
      <c r="B76" s="7" t="str">
        <f t="shared" si="2"/>
        <v/>
      </c>
      <c r="C76" s="8"/>
      <c r="D76" s="8" t="s">
        <v>71</v>
      </c>
      <c r="E76" s="5" t="s">
        <v>41</v>
      </c>
      <c r="H76" s="5" t="s">
        <v>4</v>
      </c>
      <c r="I76" s="4"/>
      <c r="K76" s="5" t="s">
        <v>41</v>
      </c>
      <c r="N76" s="6"/>
    </row>
    <row r="77" spans="1:14" ht="27" customHeight="1" x14ac:dyDescent="0.3">
      <c r="A77" s="4">
        <v>75</v>
      </c>
      <c r="B77" s="7">
        <f t="shared" si="2"/>
        <v>0.95499999999999996</v>
      </c>
      <c r="C77" s="8">
        <v>2</v>
      </c>
      <c r="D77" s="8" t="s">
        <v>30</v>
      </c>
      <c r="E77" s="5" t="s">
        <v>30</v>
      </c>
      <c r="F77" s="4">
        <v>0.95499999999999996</v>
      </c>
      <c r="G77" s="3" t="s">
        <v>12</v>
      </c>
      <c r="H77" s="5" t="s">
        <v>7</v>
      </c>
      <c r="I77" s="4">
        <v>0.95499999999999996</v>
      </c>
      <c r="J77" s="3" t="s">
        <v>12</v>
      </c>
      <c r="K77" s="5" t="s">
        <v>31</v>
      </c>
      <c r="N77" s="6"/>
    </row>
    <row r="78" spans="1:14" ht="27" customHeight="1" x14ac:dyDescent="0.3">
      <c r="A78" s="4">
        <v>76</v>
      </c>
      <c r="B78" s="7" t="str">
        <f t="shared" si="2"/>
        <v/>
      </c>
      <c r="C78" s="8"/>
      <c r="D78" s="8" t="s">
        <v>71</v>
      </c>
      <c r="E78" s="5" t="s">
        <v>41</v>
      </c>
      <c r="H78" s="5" t="s">
        <v>4</v>
      </c>
      <c r="I78" s="4"/>
      <c r="K78" s="5" t="s">
        <v>41</v>
      </c>
      <c r="N78" s="6"/>
    </row>
    <row r="79" spans="1:14" ht="27" customHeight="1" x14ac:dyDescent="0.3">
      <c r="A79" s="4">
        <v>77</v>
      </c>
      <c r="B79" s="7">
        <f t="shared" si="2"/>
        <v>0.76600000000000001</v>
      </c>
      <c r="C79" s="8">
        <v>3</v>
      </c>
      <c r="D79" s="8" t="s">
        <v>74</v>
      </c>
      <c r="E79" s="5" t="s">
        <v>31</v>
      </c>
      <c r="H79" s="5" t="s">
        <v>5</v>
      </c>
      <c r="I79" s="4">
        <v>0.76600000000000001</v>
      </c>
      <c r="J79" s="3" t="s">
        <v>9</v>
      </c>
      <c r="K79" s="5" t="s">
        <v>31</v>
      </c>
      <c r="N79" s="6"/>
    </row>
    <row r="80" spans="1:14" ht="27" customHeight="1" x14ac:dyDescent="0.3">
      <c r="A80" s="4">
        <v>78</v>
      </c>
      <c r="B80" s="7">
        <f t="shared" si="2"/>
        <v>0.49666666666666665</v>
      </c>
      <c r="C80" s="8">
        <v>3</v>
      </c>
      <c r="D80" s="8" t="s">
        <v>7</v>
      </c>
      <c r="E80" s="5" t="s">
        <v>30</v>
      </c>
      <c r="F80" s="4">
        <v>0.497</v>
      </c>
      <c r="G80" s="3" t="s">
        <v>8</v>
      </c>
      <c r="H80" s="5" t="s">
        <v>7</v>
      </c>
      <c r="I80" s="4">
        <v>0.496</v>
      </c>
      <c r="J80" s="3" t="s">
        <v>8</v>
      </c>
      <c r="K80" s="5" t="s">
        <v>7</v>
      </c>
      <c r="L80" s="4">
        <v>0.497</v>
      </c>
      <c r="M80" s="3" t="s">
        <v>8</v>
      </c>
      <c r="N80" s="6"/>
    </row>
    <row r="81" spans="1:14" ht="27" customHeight="1" x14ac:dyDescent="0.3">
      <c r="A81" s="4">
        <v>79</v>
      </c>
      <c r="B81" s="7">
        <f t="shared" si="2"/>
        <v>0.65233333333333343</v>
      </c>
      <c r="C81" s="8">
        <v>3</v>
      </c>
      <c r="D81" s="8" t="s">
        <v>7</v>
      </c>
      <c r="E81" s="5" t="s">
        <v>26</v>
      </c>
      <c r="F81" s="4">
        <v>0.65300000000000002</v>
      </c>
      <c r="G81" s="3" t="s">
        <v>8</v>
      </c>
      <c r="H81" s="5" t="s">
        <v>7</v>
      </c>
      <c r="I81" s="4">
        <v>0.65200000000000002</v>
      </c>
      <c r="J81" s="3" t="s">
        <v>8</v>
      </c>
      <c r="K81" s="5" t="s">
        <v>30</v>
      </c>
      <c r="L81" s="4">
        <v>0.65200000000000002</v>
      </c>
      <c r="M81" s="3" t="s">
        <v>8</v>
      </c>
      <c r="N81" s="6" t="s">
        <v>62</v>
      </c>
    </row>
    <row r="82" spans="1:14" ht="27" customHeight="1" x14ac:dyDescent="0.3">
      <c r="A82" s="4">
        <v>80</v>
      </c>
      <c r="B82" s="7">
        <f t="shared" si="2"/>
        <v>0.59850000000000003</v>
      </c>
      <c r="C82" s="8">
        <v>3</v>
      </c>
      <c r="D82" s="8" t="s">
        <v>7</v>
      </c>
      <c r="E82" s="5" t="s">
        <v>30</v>
      </c>
      <c r="F82" s="4">
        <v>0.59850000000000003</v>
      </c>
      <c r="G82" s="3" t="s">
        <v>8</v>
      </c>
      <c r="H82" s="5" t="s">
        <v>7</v>
      </c>
      <c r="I82" s="4">
        <v>0.59799999999999998</v>
      </c>
      <c r="J82" s="3" t="s">
        <v>8</v>
      </c>
      <c r="K82" s="5" t="s">
        <v>7</v>
      </c>
      <c r="L82" s="4">
        <v>0.59899999999999998</v>
      </c>
      <c r="M82" s="3" t="s">
        <v>8</v>
      </c>
      <c r="N82" s="6"/>
    </row>
    <row r="83" spans="1:14" ht="27" customHeight="1" x14ac:dyDescent="0.3">
      <c r="A83" s="4">
        <v>81</v>
      </c>
      <c r="B83" s="7" t="str">
        <f t="shared" si="2"/>
        <v/>
      </c>
      <c r="C83" s="8"/>
      <c r="D83" s="8" t="s">
        <v>71</v>
      </c>
      <c r="E83" s="5" t="s">
        <v>41</v>
      </c>
      <c r="H83" s="5" t="s">
        <v>4</v>
      </c>
      <c r="I83" s="4"/>
      <c r="K83" s="5" t="s">
        <v>41</v>
      </c>
      <c r="N83" s="6"/>
    </row>
    <row r="84" spans="1:14" ht="27" customHeight="1" x14ac:dyDescent="0.3">
      <c r="A84" s="4">
        <v>82</v>
      </c>
      <c r="B84" s="7">
        <f t="shared" si="2"/>
        <v>0.52283333333333337</v>
      </c>
      <c r="C84" s="8">
        <v>3</v>
      </c>
      <c r="D84" s="8" t="s">
        <v>7</v>
      </c>
      <c r="E84" s="5" t="s">
        <v>30</v>
      </c>
      <c r="F84" s="4">
        <v>0.52249999999999996</v>
      </c>
      <c r="G84" s="3" t="s">
        <v>8</v>
      </c>
      <c r="H84" s="5" t="s">
        <v>7</v>
      </c>
      <c r="I84" s="4">
        <v>0.52300000000000002</v>
      </c>
      <c r="J84" s="3" t="s">
        <v>8</v>
      </c>
      <c r="K84" s="5" t="s">
        <v>26</v>
      </c>
      <c r="L84" s="4">
        <v>0.52300000000000002</v>
      </c>
      <c r="M84" s="3" t="s">
        <v>8</v>
      </c>
      <c r="N84" s="6"/>
    </row>
    <row r="85" spans="1:14" ht="27" customHeight="1" x14ac:dyDescent="0.3">
      <c r="A85" s="4">
        <v>83</v>
      </c>
      <c r="B85" s="7" t="str">
        <f t="shared" si="2"/>
        <v/>
      </c>
      <c r="C85" s="8"/>
      <c r="D85" s="8" t="s">
        <v>71</v>
      </c>
      <c r="E85" s="5" t="s">
        <v>31</v>
      </c>
      <c r="H85" s="5" t="s">
        <v>4</v>
      </c>
      <c r="I85" s="4"/>
      <c r="K85" s="5" t="s">
        <v>31</v>
      </c>
      <c r="N85" s="6"/>
    </row>
    <row r="86" spans="1:14" ht="27" customHeight="1" x14ac:dyDescent="0.3">
      <c r="A86" s="4">
        <v>84</v>
      </c>
      <c r="B86" s="7">
        <f t="shared" si="2"/>
        <v>0.76683333333333337</v>
      </c>
      <c r="C86" s="8">
        <v>3</v>
      </c>
      <c r="D86" s="8" t="s">
        <v>7</v>
      </c>
      <c r="E86" s="5" t="s">
        <v>26</v>
      </c>
      <c r="F86" s="4">
        <v>0.76649999999999996</v>
      </c>
      <c r="G86" s="3" t="s">
        <v>33</v>
      </c>
      <c r="H86" s="5" t="s">
        <v>7</v>
      </c>
      <c r="I86" s="4">
        <v>0.76700000000000002</v>
      </c>
      <c r="J86" s="3" t="s">
        <v>9</v>
      </c>
      <c r="K86" s="5" t="s">
        <v>26</v>
      </c>
      <c r="L86" s="4">
        <v>0.76700000000000002</v>
      </c>
      <c r="M86" s="3" t="s">
        <v>9</v>
      </c>
      <c r="N86" s="6"/>
    </row>
    <row r="87" spans="1:14" ht="27" customHeight="1" x14ac:dyDescent="0.3">
      <c r="A87" s="4">
        <v>85</v>
      </c>
      <c r="B87" s="7" t="str">
        <f t="shared" si="2"/>
        <v/>
      </c>
      <c r="C87" s="8"/>
      <c r="D87" s="8" t="s">
        <v>73</v>
      </c>
      <c r="E87" s="5" t="s">
        <v>43</v>
      </c>
      <c r="H87" s="5" t="s">
        <v>18</v>
      </c>
      <c r="I87" s="4"/>
      <c r="K87" s="5" t="s">
        <v>18</v>
      </c>
      <c r="N87" s="6"/>
    </row>
    <row r="88" spans="1:14" ht="27" customHeight="1" x14ac:dyDescent="0.3">
      <c r="A88" s="4">
        <v>86</v>
      </c>
      <c r="B88" s="7" t="str">
        <f t="shared" si="2"/>
        <v/>
      </c>
      <c r="C88" s="8"/>
      <c r="D88" s="8" t="s">
        <v>71</v>
      </c>
      <c r="E88" s="5" t="s">
        <v>41</v>
      </c>
      <c r="H88" s="5" t="s">
        <v>4</v>
      </c>
      <c r="I88" s="4"/>
      <c r="K88" s="5" t="s">
        <v>4</v>
      </c>
      <c r="N88" s="6"/>
    </row>
    <row r="89" spans="1:14" ht="27" customHeight="1" x14ac:dyDescent="0.3">
      <c r="A89" s="4">
        <v>87</v>
      </c>
      <c r="B89" s="7">
        <f t="shared" si="2"/>
        <v>0.7413333333333334</v>
      </c>
      <c r="C89" s="8">
        <v>3</v>
      </c>
      <c r="D89" s="8" t="s">
        <v>7</v>
      </c>
      <c r="E89" s="5" t="s">
        <v>30</v>
      </c>
      <c r="F89" s="4">
        <v>0.74150000000000005</v>
      </c>
      <c r="G89" s="3" t="s">
        <v>33</v>
      </c>
      <c r="H89" s="5" t="s">
        <v>7</v>
      </c>
      <c r="I89" s="4">
        <v>0.74099999999999999</v>
      </c>
      <c r="J89" s="3" t="s">
        <v>44</v>
      </c>
      <c r="K89" s="5" t="s">
        <v>26</v>
      </c>
      <c r="L89" s="4">
        <v>0.74150000000000005</v>
      </c>
      <c r="M89" s="3" t="s">
        <v>33</v>
      </c>
      <c r="N89" s="6"/>
    </row>
    <row r="90" spans="1:14" ht="27" customHeight="1" x14ac:dyDescent="0.3">
      <c r="A90" s="4">
        <v>88</v>
      </c>
      <c r="B90" s="7">
        <f t="shared" si="2"/>
        <v>0.71150000000000002</v>
      </c>
      <c r="C90" s="8">
        <v>3</v>
      </c>
      <c r="D90" s="8" t="s">
        <v>7</v>
      </c>
      <c r="E90" s="5" t="s">
        <v>30</v>
      </c>
      <c r="F90" s="4">
        <v>0.71150000000000002</v>
      </c>
      <c r="G90" s="3" t="s">
        <v>8</v>
      </c>
      <c r="H90" s="5" t="s">
        <v>7</v>
      </c>
      <c r="I90" s="4">
        <v>0.71199999999999997</v>
      </c>
      <c r="J90" s="3" t="s">
        <v>8</v>
      </c>
      <c r="K90" s="5" t="s">
        <v>30</v>
      </c>
      <c r="L90" s="4">
        <v>0.71099999999999997</v>
      </c>
      <c r="M90" s="3" t="s">
        <v>9</v>
      </c>
      <c r="N90" s="6"/>
    </row>
    <row r="91" spans="1:14" ht="27" customHeight="1" x14ac:dyDescent="0.3">
      <c r="A91" s="4">
        <v>89</v>
      </c>
      <c r="B91" s="7">
        <f t="shared" si="2"/>
        <v>0.50800000000000001</v>
      </c>
      <c r="C91" s="8">
        <v>3</v>
      </c>
      <c r="D91" s="8" t="s">
        <v>7</v>
      </c>
      <c r="E91" s="5" t="s">
        <v>7</v>
      </c>
      <c r="F91" s="4">
        <v>0.50800000000000001</v>
      </c>
      <c r="G91" s="3" t="s">
        <v>8</v>
      </c>
      <c r="H91" s="5" t="s">
        <v>7</v>
      </c>
      <c r="I91" s="4">
        <v>0.50800000000000001</v>
      </c>
      <c r="J91" s="3" t="s">
        <v>8</v>
      </c>
      <c r="K91" s="5" t="s">
        <v>26</v>
      </c>
      <c r="L91" s="4">
        <v>0.50800000000000001</v>
      </c>
      <c r="M91" s="3" t="s">
        <v>33</v>
      </c>
      <c r="N91" s="6"/>
    </row>
    <row r="92" spans="1:14" ht="27" customHeight="1" x14ac:dyDescent="0.3">
      <c r="A92" s="4">
        <v>90</v>
      </c>
      <c r="B92" s="7">
        <f t="shared" si="2"/>
        <v>0.372</v>
      </c>
      <c r="C92" s="8">
        <v>3</v>
      </c>
      <c r="D92" s="8" t="s">
        <v>69</v>
      </c>
      <c r="E92" s="5" t="s">
        <v>41</v>
      </c>
      <c r="H92" s="5" t="s">
        <v>5</v>
      </c>
      <c r="I92" s="4">
        <v>0.372</v>
      </c>
      <c r="J92" s="3" t="s">
        <v>76</v>
      </c>
      <c r="K92" s="5" t="s">
        <v>26</v>
      </c>
      <c r="L92" s="4">
        <v>0.372</v>
      </c>
      <c r="M92" s="3" t="s">
        <v>76</v>
      </c>
      <c r="N92" s="6"/>
    </row>
    <row r="93" spans="1:14" ht="27" customHeight="1" x14ac:dyDescent="0.3">
      <c r="A93" s="4">
        <v>91</v>
      </c>
      <c r="B93" s="7">
        <f t="shared" si="2"/>
        <v>0.49533333333333335</v>
      </c>
      <c r="C93" s="8">
        <v>3</v>
      </c>
      <c r="D93" s="8" t="s">
        <v>7</v>
      </c>
      <c r="E93" s="5" t="s">
        <v>7</v>
      </c>
      <c r="F93" s="4">
        <v>0.496</v>
      </c>
      <c r="G93" s="3" t="s">
        <v>8</v>
      </c>
      <c r="H93" s="5" t="s">
        <v>7</v>
      </c>
      <c r="I93" s="4">
        <v>0.495</v>
      </c>
      <c r="J93" s="3" t="s">
        <v>8</v>
      </c>
      <c r="K93" s="5" t="s">
        <v>26</v>
      </c>
      <c r="L93" s="4">
        <v>0.495</v>
      </c>
      <c r="M93" s="3" t="s">
        <v>34</v>
      </c>
      <c r="N93" s="6"/>
    </row>
    <row r="94" spans="1:14" ht="27" customHeight="1" x14ac:dyDescent="0.3">
      <c r="A94" s="4">
        <v>92</v>
      </c>
      <c r="B94" s="7">
        <f t="shared" si="2"/>
        <v>0.60299999999999998</v>
      </c>
      <c r="C94" s="8">
        <v>3</v>
      </c>
      <c r="D94" s="8" t="s">
        <v>69</v>
      </c>
      <c r="E94" s="5" t="s">
        <v>5</v>
      </c>
      <c r="F94" s="4">
        <v>0.60299999999999998</v>
      </c>
      <c r="G94" s="3" t="s">
        <v>9</v>
      </c>
      <c r="H94" s="5" t="s">
        <v>5</v>
      </c>
      <c r="I94" s="4">
        <v>0.60299999999999998</v>
      </c>
      <c r="J94" s="3" t="s">
        <v>9</v>
      </c>
      <c r="K94" s="5" t="s">
        <v>41</v>
      </c>
      <c r="N94" s="6"/>
    </row>
    <row r="95" spans="1:14" ht="27" customHeight="1" x14ac:dyDescent="0.3">
      <c r="A95" s="4">
        <v>93</v>
      </c>
      <c r="B95" s="7">
        <f t="shared" si="2"/>
        <v>0.49616666666666664</v>
      </c>
      <c r="C95" s="8">
        <v>3</v>
      </c>
      <c r="D95" s="8" t="s">
        <v>7</v>
      </c>
      <c r="E95" s="5" t="s">
        <v>30</v>
      </c>
      <c r="F95" s="4">
        <v>0.4965</v>
      </c>
      <c r="G95" s="3" t="s">
        <v>49</v>
      </c>
      <c r="H95" s="5" t="s">
        <v>7</v>
      </c>
      <c r="I95" s="4">
        <v>0.496</v>
      </c>
      <c r="J95" s="3" t="s">
        <v>22</v>
      </c>
      <c r="K95" s="5" t="s">
        <v>30</v>
      </c>
      <c r="L95" s="4">
        <v>0.496</v>
      </c>
      <c r="M95" s="3" t="s">
        <v>22</v>
      </c>
      <c r="N95" s="6"/>
    </row>
    <row r="96" spans="1:14" ht="27" customHeight="1" x14ac:dyDescent="0.3">
      <c r="A96" s="4">
        <v>94</v>
      </c>
      <c r="B96" s="7" t="str">
        <f t="shared" si="2"/>
        <v/>
      </c>
      <c r="C96" s="8"/>
      <c r="D96" s="8" t="s">
        <v>73</v>
      </c>
      <c r="E96" s="5" t="s">
        <v>43</v>
      </c>
      <c r="H96" s="5" t="s">
        <v>18</v>
      </c>
      <c r="I96" s="4"/>
      <c r="K96" s="5" t="s">
        <v>43</v>
      </c>
      <c r="N96" s="6"/>
    </row>
    <row r="97" spans="1:14" ht="27" customHeight="1" x14ac:dyDescent="0.3">
      <c r="A97" s="4">
        <v>95</v>
      </c>
      <c r="B97" s="7">
        <f t="shared" si="2"/>
        <v>0.93983333333333319</v>
      </c>
      <c r="C97" s="8">
        <v>3</v>
      </c>
      <c r="D97" s="8" t="s">
        <v>7</v>
      </c>
      <c r="E97" s="5" t="s">
        <v>30</v>
      </c>
      <c r="F97" s="4">
        <v>0.9395</v>
      </c>
      <c r="G97" s="3" t="s">
        <v>12</v>
      </c>
      <c r="H97" s="5" t="s">
        <v>7</v>
      </c>
      <c r="I97" s="4">
        <v>0.94</v>
      </c>
      <c r="J97" s="3" t="s">
        <v>12</v>
      </c>
      <c r="K97" s="5" t="s">
        <v>30</v>
      </c>
      <c r="L97" s="4">
        <v>0.94</v>
      </c>
      <c r="M97" s="3" t="s">
        <v>12</v>
      </c>
      <c r="N97" s="6"/>
    </row>
    <row r="98" spans="1:14" ht="27" customHeight="1" x14ac:dyDescent="0.3">
      <c r="A98" s="4">
        <v>96</v>
      </c>
      <c r="B98" s="7">
        <f t="shared" si="2"/>
        <v>0.4955</v>
      </c>
      <c r="C98" s="8">
        <v>3</v>
      </c>
      <c r="D98" s="8" t="s">
        <v>7</v>
      </c>
      <c r="E98" s="5" t="s">
        <v>30</v>
      </c>
      <c r="F98" s="4">
        <v>0.495</v>
      </c>
      <c r="G98" s="3" t="s">
        <v>6</v>
      </c>
      <c r="H98" s="5" t="s">
        <v>7</v>
      </c>
      <c r="I98" s="4">
        <v>0.496</v>
      </c>
      <c r="J98" s="3" t="s">
        <v>6</v>
      </c>
      <c r="K98" s="5" t="s">
        <v>31</v>
      </c>
      <c r="N98" s="6"/>
    </row>
    <row r="99" spans="1:14" ht="27" customHeight="1" x14ac:dyDescent="0.3">
      <c r="A99" s="4">
        <v>97</v>
      </c>
      <c r="B99" s="7">
        <f t="shared" ref="B99:B130" si="3">IFERROR(AVERAGE(F99,L99,I99),"")</f>
        <v>0.59533333333333338</v>
      </c>
      <c r="C99" s="8">
        <v>3</v>
      </c>
      <c r="D99" s="8" t="s">
        <v>69</v>
      </c>
      <c r="E99" s="5" t="s">
        <v>26</v>
      </c>
      <c r="F99" s="4">
        <v>0.59450000000000003</v>
      </c>
      <c r="G99" s="3" t="s">
        <v>9</v>
      </c>
      <c r="H99" s="5" t="s">
        <v>5</v>
      </c>
      <c r="I99" s="4">
        <v>0.59599999999999997</v>
      </c>
      <c r="J99" s="3" t="s">
        <v>16</v>
      </c>
      <c r="K99" s="5" t="s">
        <v>26</v>
      </c>
      <c r="L99" s="4">
        <v>0.59550000000000003</v>
      </c>
      <c r="M99" s="3" t="s">
        <v>9</v>
      </c>
      <c r="N99" s="6" t="s">
        <v>45</v>
      </c>
    </row>
    <row r="100" spans="1:14" ht="27" customHeight="1" x14ac:dyDescent="0.3">
      <c r="A100" s="4">
        <v>98</v>
      </c>
      <c r="B100" s="7">
        <f t="shared" si="3"/>
        <v>0.65850000000000009</v>
      </c>
      <c r="C100" s="8">
        <v>3</v>
      </c>
      <c r="D100" s="8" t="s">
        <v>69</v>
      </c>
      <c r="E100" s="5" t="s">
        <v>26</v>
      </c>
      <c r="F100" s="4">
        <v>0.65900000000000003</v>
      </c>
      <c r="G100" s="3" t="s">
        <v>9</v>
      </c>
      <c r="H100" s="5" t="s">
        <v>5</v>
      </c>
      <c r="I100" s="4">
        <v>0.65800000000000003</v>
      </c>
      <c r="J100" s="3" t="s">
        <v>16</v>
      </c>
      <c r="K100" s="5" t="s">
        <v>41</v>
      </c>
      <c r="N100" s="6" t="s">
        <v>23</v>
      </c>
    </row>
    <row r="101" spans="1:14" ht="27" customHeight="1" x14ac:dyDescent="0.3">
      <c r="A101" s="4">
        <v>99</v>
      </c>
      <c r="B101" s="7">
        <f t="shared" si="3"/>
        <v>0.61199999999999999</v>
      </c>
      <c r="C101" s="8">
        <v>3</v>
      </c>
      <c r="D101" s="8" t="s">
        <v>75</v>
      </c>
      <c r="E101" s="5" t="s">
        <v>31</v>
      </c>
      <c r="H101" s="5" t="s">
        <v>7</v>
      </c>
      <c r="I101" s="4">
        <v>0.61199999999999999</v>
      </c>
      <c r="J101" s="3" t="s">
        <v>9</v>
      </c>
      <c r="K101" s="5" t="s">
        <v>31</v>
      </c>
      <c r="N101" s="6"/>
    </row>
    <row r="102" spans="1:14" ht="27" customHeight="1" x14ac:dyDescent="0.3">
      <c r="A102" s="4">
        <v>100</v>
      </c>
      <c r="B102" s="7">
        <f t="shared" si="3"/>
        <v>0.76349999999999996</v>
      </c>
      <c r="C102" s="8">
        <v>3</v>
      </c>
      <c r="D102" s="8" t="s">
        <v>7</v>
      </c>
      <c r="E102" s="5" t="s">
        <v>30</v>
      </c>
      <c r="F102" s="4">
        <v>0.76349999999999996</v>
      </c>
      <c r="G102" s="3" t="s">
        <v>46</v>
      </c>
      <c r="H102" s="5" t="s">
        <v>7</v>
      </c>
      <c r="I102" s="4">
        <v>0.76400000000000001</v>
      </c>
      <c r="J102" s="3" t="s">
        <v>9</v>
      </c>
      <c r="K102" s="5" t="s">
        <v>26</v>
      </c>
      <c r="L102" s="4">
        <v>0.76300000000000001</v>
      </c>
      <c r="M102" s="3" t="s">
        <v>46</v>
      </c>
      <c r="N102" s="6"/>
    </row>
    <row r="103" spans="1:14" ht="27" customHeight="1" x14ac:dyDescent="0.3">
      <c r="A103" s="4">
        <v>101</v>
      </c>
      <c r="B103" s="7">
        <f t="shared" si="3"/>
        <v>0.60399999999999998</v>
      </c>
      <c r="C103" s="8">
        <v>3</v>
      </c>
      <c r="D103" s="8" t="s">
        <v>69</v>
      </c>
      <c r="E103" s="5" t="s">
        <v>5</v>
      </c>
      <c r="F103" s="4">
        <v>0.60399999999999998</v>
      </c>
      <c r="G103" s="3" t="s">
        <v>9</v>
      </c>
      <c r="H103" s="5" t="s">
        <v>5</v>
      </c>
      <c r="I103" s="4">
        <v>0.60399999999999998</v>
      </c>
      <c r="J103" s="3" t="s">
        <v>9</v>
      </c>
      <c r="K103" s="5" t="s">
        <v>31</v>
      </c>
      <c r="N103" s="6"/>
    </row>
    <row r="104" spans="1:14" ht="27" customHeight="1" x14ac:dyDescent="0.3">
      <c r="A104" s="4">
        <v>102</v>
      </c>
      <c r="B104" s="7">
        <f t="shared" si="3"/>
        <v>0.46600000000000003</v>
      </c>
      <c r="C104" s="8">
        <v>3</v>
      </c>
      <c r="D104" s="8" t="s">
        <v>7</v>
      </c>
      <c r="E104" s="5" t="s">
        <v>26</v>
      </c>
      <c r="F104" s="4">
        <v>0.46600000000000003</v>
      </c>
      <c r="G104" s="3" t="s">
        <v>8</v>
      </c>
      <c r="H104" s="5" t="s">
        <v>7</v>
      </c>
      <c r="I104" s="4">
        <v>0.46600000000000003</v>
      </c>
      <c r="J104" s="3" t="s">
        <v>8</v>
      </c>
      <c r="K104" s="5" t="s">
        <v>31</v>
      </c>
      <c r="N104" s="6"/>
    </row>
    <row r="105" spans="1:14" ht="27" customHeight="1" x14ac:dyDescent="0.3">
      <c r="A105" s="4">
        <v>103</v>
      </c>
      <c r="B105" s="7" t="str">
        <f t="shared" si="3"/>
        <v/>
      </c>
      <c r="C105" s="8"/>
      <c r="D105" s="8" t="s">
        <v>71</v>
      </c>
      <c r="E105" s="5" t="s">
        <v>41</v>
      </c>
      <c r="H105" s="5" t="s">
        <v>4</v>
      </c>
      <c r="I105" s="4"/>
      <c r="K105" s="5" t="s">
        <v>41</v>
      </c>
      <c r="N105" s="6"/>
    </row>
    <row r="106" spans="1:14" ht="27" customHeight="1" x14ac:dyDescent="0.3">
      <c r="A106" s="4">
        <v>104</v>
      </c>
      <c r="B106" s="7" t="str">
        <f t="shared" si="3"/>
        <v/>
      </c>
      <c r="C106" s="8"/>
      <c r="D106" s="8" t="s">
        <v>70</v>
      </c>
      <c r="E106" s="5" t="s">
        <v>32</v>
      </c>
      <c r="H106" s="5" t="s">
        <v>11</v>
      </c>
      <c r="I106" s="4"/>
      <c r="K106" s="5" t="s">
        <v>32</v>
      </c>
      <c r="N106" s="6"/>
    </row>
    <row r="107" spans="1:14" ht="27" customHeight="1" x14ac:dyDescent="0.3">
      <c r="A107" s="4">
        <v>105</v>
      </c>
      <c r="B107" s="7">
        <f t="shared" si="3"/>
        <v>0.56699999999999995</v>
      </c>
      <c r="C107" s="8">
        <v>3</v>
      </c>
      <c r="D107" s="8" t="s">
        <v>7</v>
      </c>
      <c r="E107" s="5" t="s">
        <v>7</v>
      </c>
      <c r="F107" s="4">
        <v>0.56699999999999995</v>
      </c>
      <c r="G107" s="3" t="s">
        <v>8</v>
      </c>
      <c r="H107" s="5" t="s">
        <v>7</v>
      </c>
      <c r="I107" s="4">
        <v>0.56699999999999995</v>
      </c>
      <c r="J107" s="3" t="s">
        <v>8</v>
      </c>
      <c r="K107" s="5" t="s">
        <v>26</v>
      </c>
      <c r="L107" s="4">
        <v>0.56699999999999995</v>
      </c>
      <c r="M107" s="3" t="s">
        <v>33</v>
      </c>
      <c r="N107" s="6"/>
    </row>
    <row r="108" spans="1:14" ht="27" customHeight="1" x14ac:dyDescent="0.3">
      <c r="A108" s="4">
        <v>106</v>
      </c>
      <c r="B108" s="7">
        <f t="shared" si="3"/>
        <v>0.76316666666666666</v>
      </c>
      <c r="C108" s="8">
        <v>3</v>
      </c>
      <c r="D108" s="8" t="s">
        <v>69</v>
      </c>
      <c r="E108" s="5" t="s">
        <v>5</v>
      </c>
      <c r="F108" s="4">
        <v>0.76349999999999996</v>
      </c>
      <c r="G108" s="3" t="s">
        <v>9</v>
      </c>
      <c r="H108" s="5" t="s">
        <v>5</v>
      </c>
      <c r="I108" s="4">
        <v>0.76300000000000001</v>
      </c>
      <c r="J108" s="3" t="s">
        <v>9</v>
      </c>
      <c r="K108" s="5" t="s">
        <v>26</v>
      </c>
      <c r="L108" s="4">
        <v>0.76300000000000001</v>
      </c>
      <c r="M108" s="3" t="s">
        <v>47</v>
      </c>
      <c r="N108" s="6"/>
    </row>
    <row r="109" spans="1:14" ht="27" customHeight="1" x14ac:dyDescent="0.3">
      <c r="A109" s="4">
        <v>107</v>
      </c>
      <c r="B109" s="7">
        <f t="shared" si="3"/>
        <v>0.54349999999999998</v>
      </c>
      <c r="C109" s="8">
        <v>3</v>
      </c>
      <c r="D109" s="8" t="s">
        <v>7</v>
      </c>
      <c r="E109" s="5" t="s">
        <v>30</v>
      </c>
      <c r="F109" s="4">
        <v>0.54349999999999998</v>
      </c>
      <c r="G109" s="3" t="s">
        <v>9</v>
      </c>
      <c r="H109" s="5" t="s">
        <v>7</v>
      </c>
      <c r="I109" s="4">
        <v>0.54300000000000004</v>
      </c>
      <c r="J109" s="3" t="s">
        <v>9</v>
      </c>
      <c r="K109" s="5" t="s">
        <v>30</v>
      </c>
      <c r="L109" s="4">
        <v>0.54400000000000004</v>
      </c>
      <c r="M109" s="3" t="s">
        <v>8</v>
      </c>
      <c r="N109" s="6"/>
    </row>
    <row r="110" spans="1:14" ht="27" customHeight="1" x14ac:dyDescent="0.3">
      <c r="A110" s="4">
        <v>108</v>
      </c>
      <c r="B110" s="7">
        <f t="shared" si="3"/>
        <v>0.65225</v>
      </c>
      <c r="C110" s="8">
        <v>3</v>
      </c>
      <c r="D110" s="8" t="s">
        <v>7</v>
      </c>
      <c r="E110" s="5" t="s">
        <v>30</v>
      </c>
      <c r="F110" s="4">
        <v>0.65249999999999997</v>
      </c>
      <c r="G110" s="3" t="s">
        <v>6</v>
      </c>
      <c r="H110" s="5" t="s">
        <v>7</v>
      </c>
      <c r="I110" s="4">
        <v>0.65200000000000002</v>
      </c>
      <c r="J110" s="3" t="s">
        <v>38</v>
      </c>
      <c r="K110" s="5" t="s">
        <v>31</v>
      </c>
      <c r="N110" s="6"/>
    </row>
    <row r="111" spans="1:14" ht="27" customHeight="1" x14ac:dyDescent="0.3">
      <c r="A111" s="4">
        <v>109</v>
      </c>
      <c r="B111" s="7">
        <f t="shared" si="3"/>
        <v>0.46433333333333332</v>
      </c>
      <c r="C111" s="8">
        <v>3</v>
      </c>
      <c r="D111" s="8" t="s">
        <v>7</v>
      </c>
      <c r="E111" s="5" t="s">
        <v>30</v>
      </c>
      <c r="F111" s="4">
        <v>0.46400000000000002</v>
      </c>
      <c r="G111" s="3" t="s">
        <v>77</v>
      </c>
      <c r="H111" s="5" t="s">
        <v>7</v>
      </c>
      <c r="I111" s="4">
        <v>0.46500000000000002</v>
      </c>
      <c r="J111" s="3" t="s">
        <v>78</v>
      </c>
      <c r="K111" s="5" t="s">
        <v>30</v>
      </c>
      <c r="L111" s="4">
        <v>0.46400000000000002</v>
      </c>
      <c r="M111" s="3" t="s">
        <v>48</v>
      </c>
      <c r="N111" s="6"/>
    </row>
    <row r="112" spans="1:14" ht="27" customHeight="1" x14ac:dyDescent="0.3">
      <c r="A112" s="4">
        <v>110</v>
      </c>
      <c r="B112" s="7">
        <f t="shared" si="3"/>
        <v>0.52200000000000002</v>
      </c>
      <c r="C112" s="8">
        <v>3</v>
      </c>
      <c r="D112" s="8" t="s">
        <v>7</v>
      </c>
      <c r="E112" s="5" t="s">
        <v>7</v>
      </c>
      <c r="F112" s="4">
        <v>0.52200000000000002</v>
      </c>
      <c r="G112" s="3" t="s">
        <v>8</v>
      </c>
      <c r="H112" s="5" t="s">
        <v>7</v>
      </c>
      <c r="I112" s="4">
        <v>0.52200000000000002</v>
      </c>
      <c r="J112" s="3" t="s">
        <v>8</v>
      </c>
      <c r="K112" s="5" t="s">
        <v>30</v>
      </c>
      <c r="L112" s="4">
        <v>0.52200000000000002</v>
      </c>
      <c r="M112" s="3" t="s">
        <v>49</v>
      </c>
      <c r="N112" s="6"/>
    </row>
    <row r="113" spans="1:14" ht="27" customHeight="1" x14ac:dyDescent="0.3">
      <c r="A113" s="4">
        <v>111</v>
      </c>
      <c r="B113" s="7">
        <f t="shared" si="3"/>
        <v>0.85883333333333345</v>
      </c>
      <c r="C113" s="8">
        <v>2</v>
      </c>
      <c r="D113" s="8" t="s">
        <v>69</v>
      </c>
      <c r="E113" s="5" t="s">
        <v>5</v>
      </c>
      <c r="F113" s="4">
        <v>0.85850000000000004</v>
      </c>
      <c r="G113" s="3" t="s">
        <v>16</v>
      </c>
      <c r="H113" s="5" t="s">
        <v>5</v>
      </c>
      <c r="I113" s="4">
        <v>0.85899999999999999</v>
      </c>
      <c r="J113" s="3" t="s">
        <v>16</v>
      </c>
      <c r="K113" s="5" t="s">
        <v>26</v>
      </c>
      <c r="L113" s="4">
        <v>0.85899999999999999</v>
      </c>
      <c r="M113" s="3" t="s">
        <v>16</v>
      </c>
      <c r="N113" s="6"/>
    </row>
    <row r="114" spans="1:14" ht="27" customHeight="1" x14ac:dyDescent="0.3">
      <c r="A114" s="4">
        <v>112</v>
      </c>
      <c r="B114" s="7">
        <f t="shared" si="3"/>
        <v>0.82299999999999995</v>
      </c>
      <c r="C114" s="8">
        <v>3</v>
      </c>
      <c r="D114" s="8" t="s">
        <v>7</v>
      </c>
      <c r="E114" s="5" t="s">
        <v>30</v>
      </c>
      <c r="F114" s="4">
        <v>0.82350000000000001</v>
      </c>
      <c r="G114" s="3" t="s">
        <v>63</v>
      </c>
      <c r="H114" s="5" t="s">
        <v>7</v>
      </c>
      <c r="I114" s="4">
        <v>0.82299999999999995</v>
      </c>
      <c r="J114" s="3" t="s">
        <v>24</v>
      </c>
      <c r="K114" s="5" t="s">
        <v>7</v>
      </c>
      <c r="L114" s="4">
        <v>0.82250000000000001</v>
      </c>
      <c r="M114" s="3" t="s">
        <v>24</v>
      </c>
      <c r="N114" s="6"/>
    </row>
    <row r="115" spans="1:14" ht="27" customHeight="1" x14ac:dyDescent="0.3">
      <c r="A115" s="4">
        <v>113</v>
      </c>
      <c r="B115" s="7">
        <f t="shared" si="3"/>
        <v>0.82366666666666655</v>
      </c>
      <c r="C115" s="8">
        <v>3</v>
      </c>
      <c r="D115" s="8" t="s">
        <v>7</v>
      </c>
      <c r="E115" s="5" t="s">
        <v>26</v>
      </c>
      <c r="F115" s="4">
        <v>0.82399999999999995</v>
      </c>
      <c r="G115" s="3" t="s">
        <v>12</v>
      </c>
      <c r="H115" s="5" t="s">
        <v>7</v>
      </c>
      <c r="I115" s="4">
        <v>0.82399999999999995</v>
      </c>
      <c r="J115" s="3" t="s">
        <v>12</v>
      </c>
      <c r="K115" s="5" t="s">
        <v>30</v>
      </c>
      <c r="L115" s="4">
        <v>0.82299999999999995</v>
      </c>
      <c r="M115" s="3" t="s">
        <v>42</v>
      </c>
      <c r="N115" s="6"/>
    </row>
    <row r="116" spans="1:14" ht="27" customHeight="1" x14ac:dyDescent="0.3">
      <c r="A116" s="4">
        <v>114</v>
      </c>
      <c r="B116" s="7">
        <f t="shared" si="3"/>
        <v>1.1537500000000001</v>
      </c>
      <c r="C116" s="8">
        <v>3</v>
      </c>
      <c r="D116" s="8" t="s">
        <v>69</v>
      </c>
      <c r="E116" s="5" t="s">
        <v>30</v>
      </c>
      <c r="F116" s="4">
        <v>1.1535</v>
      </c>
      <c r="G116" s="3" t="s">
        <v>50</v>
      </c>
      <c r="H116" s="5" t="s">
        <v>5</v>
      </c>
      <c r="I116" s="4">
        <v>1.1539999999999999</v>
      </c>
      <c r="J116" s="3" t="s">
        <v>12</v>
      </c>
      <c r="K116" s="5" t="s">
        <v>41</v>
      </c>
      <c r="N116" s="6" t="s">
        <v>64</v>
      </c>
    </row>
    <row r="117" spans="1:14" ht="27" customHeight="1" x14ac:dyDescent="0.3">
      <c r="A117" s="4">
        <v>115</v>
      </c>
      <c r="B117" s="7">
        <f t="shared" si="3"/>
        <v>0.46550000000000002</v>
      </c>
      <c r="C117" s="8">
        <v>3</v>
      </c>
      <c r="D117" s="8" t="s">
        <v>7</v>
      </c>
      <c r="E117" s="5" t="s">
        <v>30</v>
      </c>
      <c r="F117" s="4">
        <v>0.46550000000000002</v>
      </c>
      <c r="G117" s="3" t="s">
        <v>34</v>
      </c>
      <c r="H117" s="5" t="s">
        <v>26</v>
      </c>
      <c r="I117" s="4">
        <v>0.46550000000000002</v>
      </c>
      <c r="J117" s="3" t="s">
        <v>34</v>
      </c>
      <c r="K117" s="5" t="s">
        <v>26</v>
      </c>
      <c r="L117" s="4">
        <v>0.46550000000000002</v>
      </c>
      <c r="M117" s="3" t="s">
        <v>34</v>
      </c>
      <c r="N117" s="6"/>
    </row>
    <row r="118" spans="1:14" ht="27" customHeight="1" x14ac:dyDescent="0.3">
      <c r="A118" s="4">
        <v>116</v>
      </c>
      <c r="B118" s="7">
        <f t="shared" si="3"/>
        <v>0.79250000000000009</v>
      </c>
      <c r="C118" s="8">
        <v>3</v>
      </c>
      <c r="D118" s="8" t="s">
        <v>7</v>
      </c>
      <c r="E118" s="5" t="s">
        <v>30</v>
      </c>
      <c r="F118" s="4">
        <v>0.79249999999999998</v>
      </c>
      <c r="G118" s="3" t="s">
        <v>34</v>
      </c>
      <c r="H118" s="5" t="s">
        <v>7</v>
      </c>
      <c r="I118" s="4">
        <v>0.79200000000000004</v>
      </c>
      <c r="J118" s="3" t="s">
        <v>19</v>
      </c>
      <c r="K118" s="5" t="s">
        <v>30</v>
      </c>
      <c r="L118" s="4">
        <v>0.79300000000000004</v>
      </c>
      <c r="M118" s="3" t="s">
        <v>8</v>
      </c>
      <c r="N118" s="6" t="s">
        <v>65</v>
      </c>
    </row>
    <row r="119" spans="1:14" ht="27" customHeight="1" x14ac:dyDescent="0.3">
      <c r="A119" s="4">
        <v>117</v>
      </c>
      <c r="B119" s="7">
        <f t="shared" si="3"/>
        <v>0.61166666666666669</v>
      </c>
      <c r="C119" s="8">
        <v>3</v>
      </c>
      <c r="D119" s="8" t="s">
        <v>7</v>
      </c>
      <c r="E119" s="5" t="s">
        <v>26</v>
      </c>
      <c r="F119" s="4">
        <v>0.61199999999999999</v>
      </c>
      <c r="G119" s="3" t="s">
        <v>9</v>
      </c>
      <c r="H119" s="5" t="s">
        <v>7</v>
      </c>
      <c r="I119" s="4">
        <v>0.61099999999999999</v>
      </c>
      <c r="J119" s="3" t="s">
        <v>9</v>
      </c>
      <c r="K119" s="5" t="s">
        <v>30</v>
      </c>
      <c r="L119" s="4">
        <v>0.61199999999999999</v>
      </c>
      <c r="M119" s="3" t="s">
        <v>19</v>
      </c>
      <c r="N119" s="6"/>
    </row>
    <row r="120" spans="1:14" ht="27" customHeight="1" x14ac:dyDescent="0.3">
      <c r="A120" s="4">
        <v>118</v>
      </c>
      <c r="B120" s="7">
        <f t="shared" si="3"/>
        <v>0.61916666666666675</v>
      </c>
      <c r="C120" s="8">
        <v>3</v>
      </c>
      <c r="D120" s="8" t="s">
        <v>7</v>
      </c>
      <c r="E120" s="5" t="s">
        <v>30</v>
      </c>
      <c r="F120" s="4">
        <v>0.61950000000000005</v>
      </c>
      <c r="G120" s="3" t="s">
        <v>15</v>
      </c>
      <c r="H120" s="5" t="s">
        <v>7</v>
      </c>
      <c r="I120" s="4">
        <v>0.61899999999999999</v>
      </c>
      <c r="J120" s="3" t="s">
        <v>15</v>
      </c>
      <c r="K120" s="5" t="s">
        <v>7</v>
      </c>
      <c r="L120" s="4">
        <v>0.61899999999999999</v>
      </c>
      <c r="M120" s="3" t="s">
        <v>15</v>
      </c>
      <c r="N120" s="6"/>
    </row>
    <row r="121" spans="1:14" ht="27" customHeight="1" x14ac:dyDescent="0.3">
      <c r="A121" s="4">
        <v>119</v>
      </c>
      <c r="B121" s="7">
        <f t="shared" si="3"/>
        <v>1.2050000000000001</v>
      </c>
      <c r="C121" s="8">
        <v>2</v>
      </c>
      <c r="D121" s="8" t="s">
        <v>69</v>
      </c>
      <c r="E121" s="5" t="s">
        <v>31</v>
      </c>
      <c r="H121" s="5" t="s">
        <v>5</v>
      </c>
      <c r="I121" s="4">
        <v>1.2050000000000001</v>
      </c>
      <c r="J121" s="3" t="s">
        <v>12</v>
      </c>
      <c r="K121" s="5" t="s">
        <v>31</v>
      </c>
      <c r="N121" s="6"/>
    </row>
    <row r="122" spans="1:14" ht="27" customHeight="1" x14ac:dyDescent="0.3">
      <c r="A122" s="4">
        <v>120</v>
      </c>
      <c r="B122" s="7">
        <f t="shared" si="3"/>
        <v>0.66449999999999998</v>
      </c>
      <c r="C122" s="8">
        <v>3</v>
      </c>
      <c r="D122" s="8" t="s">
        <v>7</v>
      </c>
      <c r="E122" s="5" t="s">
        <v>30</v>
      </c>
      <c r="F122" s="4">
        <v>0.66500000000000004</v>
      </c>
      <c r="G122" s="3" t="s">
        <v>9</v>
      </c>
      <c r="H122" s="5" t="s">
        <v>30</v>
      </c>
      <c r="I122" s="4">
        <v>0.66449999999999998</v>
      </c>
      <c r="J122" s="3" t="s">
        <v>9</v>
      </c>
      <c r="K122" s="5" t="s">
        <v>30</v>
      </c>
      <c r="L122" s="4">
        <v>0.66400000000000003</v>
      </c>
      <c r="M122" s="3" t="s">
        <v>9</v>
      </c>
      <c r="N122" s="6"/>
    </row>
    <row r="123" spans="1:14" ht="27" customHeight="1" x14ac:dyDescent="0.3">
      <c r="A123" s="4">
        <v>121</v>
      </c>
      <c r="B123" s="7" t="str">
        <f t="shared" si="3"/>
        <v/>
      </c>
      <c r="C123" s="8"/>
      <c r="D123" s="8" t="s">
        <v>71</v>
      </c>
      <c r="E123" s="5" t="s">
        <v>31</v>
      </c>
      <c r="H123" s="5" t="s">
        <v>4</v>
      </c>
      <c r="I123" s="4"/>
      <c r="K123" s="5" t="s">
        <v>31</v>
      </c>
      <c r="N123" s="6"/>
    </row>
    <row r="124" spans="1:14" ht="27" customHeight="1" x14ac:dyDescent="0.3">
      <c r="A124" s="4">
        <v>122</v>
      </c>
      <c r="B124" s="7">
        <f t="shared" si="3"/>
        <v>0.62150000000000005</v>
      </c>
      <c r="C124" s="8">
        <v>3</v>
      </c>
      <c r="D124" s="8" t="s">
        <v>7</v>
      </c>
      <c r="E124" s="5" t="s">
        <v>30</v>
      </c>
      <c r="F124" s="4">
        <v>0.62250000000000005</v>
      </c>
      <c r="G124" s="3" t="s">
        <v>9</v>
      </c>
      <c r="H124" s="5" t="s">
        <v>7</v>
      </c>
      <c r="I124" s="4">
        <v>0.621</v>
      </c>
      <c r="J124" s="3" t="s">
        <v>9</v>
      </c>
      <c r="K124" s="5" t="s">
        <v>7</v>
      </c>
      <c r="L124" s="4">
        <v>0.621</v>
      </c>
      <c r="M124" s="3" t="s">
        <v>9</v>
      </c>
      <c r="N124" s="6"/>
    </row>
    <row r="125" spans="1:14" ht="27" customHeight="1" x14ac:dyDescent="0.3">
      <c r="A125" s="4">
        <v>123</v>
      </c>
      <c r="B125" s="7" t="str">
        <f t="shared" si="3"/>
        <v/>
      </c>
      <c r="C125" s="8"/>
      <c r="D125" s="8" t="s">
        <v>73</v>
      </c>
      <c r="E125" s="5" t="s">
        <v>43</v>
      </c>
      <c r="H125" s="5" t="s">
        <v>18</v>
      </c>
      <c r="I125" s="4"/>
      <c r="K125" s="5" t="s">
        <v>18</v>
      </c>
      <c r="N125" s="6"/>
    </row>
    <row r="126" spans="1:14" ht="27" customHeight="1" x14ac:dyDescent="0.3">
      <c r="A126" s="4">
        <v>124</v>
      </c>
      <c r="B126" s="7" t="str">
        <f t="shared" si="3"/>
        <v/>
      </c>
      <c r="C126" s="8"/>
      <c r="D126" s="8" t="s">
        <v>71</v>
      </c>
      <c r="E126" s="5" t="s">
        <v>41</v>
      </c>
      <c r="H126" s="5" t="s">
        <v>4</v>
      </c>
      <c r="I126" s="4"/>
      <c r="K126" s="5" t="s">
        <v>4</v>
      </c>
      <c r="N126" s="6"/>
    </row>
    <row r="127" spans="1:14" ht="27" customHeight="1" x14ac:dyDescent="0.3">
      <c r="A127" s="4">
        <v>125</v>
      </c>
      <c r="B127" s="7" t="str">
        <f t="shared" si="3"/>
        <v/>
      </c>
      <c r="C127" s="8"/>
      <c r="D127" s="8" t="s">
        <v>72</v>
      </c>
      <c r="E127" s="5" t="s">
        <v>31</v>
      </c>
      <c r="H127" s="5" t="s">
        <v>3</v>
      </c>
      <c r="I127" s="4"/>
      <c r="K127" s="5" t="s">
        <v>3</v>
      </c>
      <c r="N127" s="6"/>
    </row>
    <row r="128" spans="1:14" ht="27" customHeight="1" x14ac:dyDescent="0.3">
      <c r="A128" s="4">
        <v>126</v>
      </c>
      <c r="B128" s="7" t="str">
        <f t="shared" si="3"/>
        <v/>
      </c>
      <c r="C128" s="8"/>
      <c r="D128" s="8" t="s">
        <v>71</v>
      </c>
      <c r="E128" s="5" t="s">
        <v>41</v>
      </c>
      <c r="H128" s="5" t="s">
        <v>4</v>
      </c>
      <c r="I128" s="4"/>
      <c r="K128" s="5" t="s">
        <v>4</v>
      </c>
      <c r="N128" s="6"/>
    </row>
    <row r="129" spans="1:14" ht="27" customHeight="1" x14ac:dyDescent="0.3">
      <c r="A129" s="4">
        <v>127</v>
      </c>
      <c r="B129" s="7">
        <f t="shared" si="3"/>
        <v>0.62149999999999994</v>
      </c>
      <c r="C129" s="8">
        <v>3</v>
      </c>
      <c r="D129" s="8" t="s">
        <v>7</v>
      </c>
      <c r="E129" s="5" t="s">
        <v>30</v>
      </c>
      <c r="F129" s="4">
        <v>0.622</v>
      </c>
      <c r="G129" s="3" t="s">
        <v>33</v>
      </c>
      <c r="H129" s="5" t="s">
        <v>7</v>
      </c>
      <c r="I129" s="4">
        <v>0.621</v>
      </c>
      <c r="J129" s="3" t="s">
        <v>8</v>
      </c>
      <c r="K129" s="5" t="s">
        <v>31</v>
      </c>
      <c r="N129" s="6"/>
    </row>
    <row r="130" spans="1:14" ht="27" customHeight="1" x14ac:dyDescent="0.3">
      <c r="A130" s="4">
        <v>128</v>
      </c>
      <c r="B130" s="7">
        <f t="shared" si="3"/>
        <v>0.46983333333333333</v>
      </c>
      <c r="C130" s="8">
        <v>3</v>
      </c>
      <c r="D130" s="8" t="s">
        <v>7</v>
      </c>
      <c r="E130" s="5" t="s">
        <v>30</v>
      </c>
      <c r="F130" s="4">
        <v>0.47049999999999997</v>
      </c>
      <c r="G130" s="3" t="s">
        <v>25</v>
      </c>
      <c r="H130" s="5" t="s">
        <v>7</v>
      </c>
      <c r="I130" s="4">
        <v>0.46899999999999997</v>
      </c>
      <c r="J130" s="3" t="s">
        <v>25</v>
      </c>
      <c r="K130" s="5" t="s">
        <v>30</v>
      </c>
      <c r="L130" s="4">
        <v>0.47</v>
      </c>
      <c r="M130" s="3" t="s">
        <v>25</v>
      </c>
      <c r="N130" s="6"/>
    </row>
    <row r="131" spans="1:14" ht="27" customHeight="1" x14ac:dyDescent="0.3">
      <c r="A131" s="4">
        <v>129</v>
      </c>
      <c r="B131" s="7">
        <f t="shared" ref="B131:B144" si="4">IFERROR(AVERAGE(F131,L131,I131),"")</f>
        <v>0.46400000000000002</v>
      </c>
      <c r="C131" s="8">
        <v>3</v>
      </c>
      <c r="D131" s="8" t="s">
        <v>7</v>
      </c>
      <c r="E131" s="5" t="s">
        <v>26</v>
      </c>
      <c r="F131" s="4">
        <v>0.46400000000000002</v>
      </c>
      <c r="G131" s="3" t="s">
        <v>66</v>
      </c>
      <c r="H131" s="5" t="s">
        <v>7</v>
      </c>
      <c r="I131" s="4">
        <v>0.46400000000000002</v>
      </c>
      <c r="J131" s="3" t="s">
        <v>66</v>
      </c>
      <c r="K131" s="5" t="s">
        <v>7</v>
      </c>
      <c r="L131" s="4">
        <v>0.46400000000000002</v>
      </c>
      <c r="M131" s="3" t="s">
        <v>66</v>
      </c>
      <c r="N131" s="6"/>
    </row>
    <row r="132" spans="1:14" ht="27" customHeight="1" x14ac:dyDescent="0.3">
      <c r="A132" s="4">
        <v>130</v>
      </c>
      <c r="B132" s="7">
        <f t="shared" si="4"/>
        <v>0.70616666666666672</v>
      </c>
      <c r="C132" s="8">
        <v>3</v>
      </c>
      <c r="D132" s="8" t="s">
        <v>7</v>
      </c>
      <c r="E132" s="5" t="s">
        <v>30</v>
      </c>
      <c r="F132" s="4">
        <v>0.70650000000000002</v>
      </c>
      <c r="G132" s="3" t="s">
        <v>33</v>
      </c>
      <c r="H132" s="5" t="s">
        <v>7</v>
      </c>
      <c r="I132" s="4">
        <v>0.70499999999999996</v>
      </c>
      <c r="J132" s="3" t="s">
        <v>44</v>
      </c>
      <c r="K132" s="5" t="s">
        <v>26</v>
      </c>
      <c r="L132" s="4">
        <v>0.70699999999999996</v>
      </c>
      <c r="M132" s="3" t="s">
        <v>15</v>
      </c>
      <c r="N132" s="6"/>
    </row>
    <row r="133" spans="1:14" ht="27" customHeight="1" x14ac:dyDescent="0.3">
      <c r="A133" s="4">
        <v>131</v>
      </c>
      <c r="B133" s="7">
        <f t="shared" si="4"/>
        <v>0.53033333333333332</v>
      </c>
      <c r="C133" s="8">
        <v>3</v>
      </c>
      <c r="D133" s="8" t="s">
        <v>7</v>
      </c>
      <c r="E133" s="5" t="s">
        <v>30</v>
      </c>
      <c r="F133" s="4">
        <v>0.53049999999999997</v>
      </c>
      <c r="G133" s="3" t="s">
        <v>8</v>
      </c>
      <c r="H133" s="5" t="s">
        <v>7</v>
      </c>
      <c r="I133" s="4">
        <v>0.53</v>
      </c>
      <c r="J133" s="3" t="s">
        <v>8</v>
      </c>
      <c r="K133" s="5" t="s">
        <v>30</v>
      </c>
      <c r="L133" s="4">
        <v>0.53049999999999997</v>
      </c>
      <c r="M133" s="3" t="s">
        <v>8</v>
      </c>
      <c r="N133" s="6"/>
    </row>
    <row r="134" spans="1:14" ht="27" customHeight="1" x14ac:dyDescent="0.3">
      <c r="A134" s="4">
        <v>132</v>
      </c>
      <c r="B134" s="7">
        <f t="shared" si="4"/>
        <v>0.59224999999999994</v>
      </c>
      <c r="C134" s="8">
        <v>3</v>
      </c>
      <c r="D134" s="8" t="s">
        <v>7</v>
      </c>
      <c r="E134" s="5" t="s">
        <v>41</v>
      </c>
      <c r="H134" s="5" t="s">
        <v>7</v>
      </c>
      <c r="I134" s="4">
        <v>0.59199999999999997</v>
      </c>
      <c r="J134" s="3" t="s">
        <v>8</v>
      </c>
      <c r="K134" s="5" t="s">
        <v>26</v>
      </c>
      <c r="L134" s="4">
        <v>0.59250000000000003</v>
      </c>
      <c r="M134" s="3" t="s">
        <v>34</v>
      </c>
      <c r="N134" s="6"/>
    </row>
    <row r="135" spans="1:14" ht="27" customHeight="1" x14ac:dyDescent="0.3">
      <c r="A135" s="4">
        <v>133</v>
      </c>
      <c r="B135" s="7">
        <f t="shared" si="4"/>
        <v>0.86150000000000004</v>
      </c>
      <c r="C135" s="8">
        <v>2</v>
      </c>
      <c r="D135" s="8" t="s">
        <v>69</v>
      </c>
      <c r="E135" s="5" t="s">
        <v>26</v>
      </c>
      <c r="F135" s="4">
        <v>0.86150000000000004</v>
      </c>
      <c r="G135" s="3" t="s">
        <v>8</v>
      </c>
      <c r="H135" s="5" t="s">
        <v>26</v>
      </c>
      <c r="I135" s="4">
        <v>0.86150000000000004</v>
      </c>
      <c r="J135" s="3" t="s">
        <v>8</v>
      </c>
      <c r="K135" s="5" t="s">
        <v>30</v>
      </c>
      <c r="L135" s="4">
        <v>0.86150000000000004</v>
      </c>
      <c r="M135" s="3" t="s">
        <v>8</v>
      </c>
      <c r="N135" s="6"/>
    </row>
    <row r="136" spans="1:14" ht="27" customHeight="1" x14ac:dyDescent="0.3">
      <c r="A136" s="4">
        <v>134</v>
      </c>
      <c r="B136" s="7" t="str">
        <f t="shared" si="4"/>
        <v/>
      </c>
      <c r="C136" s="8"/>
      <c r="D136" s="8" t="s">
        <v>71</v>
      </c>
      <c r="E136" s="5" t="s">
        <v>41</v>
      </c>
      <c r="H136" s="5" t="s">
        <v>4</v>
      </c>
      <c r="I136" s="4"/>
      <c r="K136" s="5" t="s">
        <v>41</v>
      </c>
      <c r="N136" s="6"/>
    </row>
    <row r="137" spans="1:14" ht="27" customHeight="1" x14ac:dyDescent="0.3">
      <c r="A137" s="4">
        <v>135</v>
      </c>
      <c r="B137" s="7">
        <f t="shared" si="4"/>
        <v>0.62224999999999997</v>
      </c>
      <c r="C137" s="8">
        <v>3</v>
      </c>
      <c r="D137" s="8" t="s">
        <v>7</v>
      </c>
      <c r="E137" s="5" t="s">
        <v>30</v>
      </c>
      <c r="F137" s="4">
        <v>0.62250000000000005</v>
      </c>
      <c r="G137" s="3" t="s">
        <v>33</v>
      </c>
      <c r="H137" s="5" t="s">
        <v>5</v>
      </c>
      <c r="I137" s="4">
        <v>0.622</v>
      </c>
      <c r="J137" s="3" t="s">
        <v>9</v>
      </c>
      <c r="K137" s="5" t="s">
        <v>41</v>
      </c>
      <c r="N137" s="6"/>
    </row>
    <row r="138" spans="1:14" ht="27" customHeight="1" x14ac:dyDescent="0.3">
      <c r="A138" s="4">
        <v>136</v>
      </c>
      <c r="B138" s="7">
        <f t="shared" si="4"/>
        <v>0.5056666666666666</v>
      </c>
      <c r="C138" s="8">
        <v>3</v>
      </c>
      <c r="D138" s="8" t="s">
        <v>7</v>
      </c>
      <c r="E138" s="5" t="s">
        <v>30</v>
      </c>
      <c r="F138" s="4">
        <v>0.50600000000000001</v>
      </c>
      <c r="G138" s="3" t="s">
        <v>33</v>
      </c>
      <c r="H138" s="5" t="s">
        <v>7</v>
      </c>
      <c r="I138" s="4">
        <v>0.505</v>
      </c>
      <c r="J138" s="3" t="s">
        <v>8</v>
      </c>
      <c r="K138" s="5" t="s">
        <v>30</v>
      </c>
      <c r="L138" s="4">
        <v>0.50600000000000001</v>
      </c>
      <c r="M138" s="3" t="s">
        <v>33</v>
      </c>
      <c r="N138" s="6"/>
    </row>
    <row r="139" spans="1:14" ht="27" customHeight="1" x14ac:dyDescent="0.3">
      <c r="A139" s="4">
        <v>137</v>
      </c>
      <c r="B139" s="7" t="str">
        <f t="shared" si="4"/>
        <v/>
      </c>
      <c r="C139" s="8"/>
      <c r="D139" s="8" t="s">
        <v>71</v>
      </c>
      <c r="E139" s="5" t="s">
        <v>41</v>
      </c>
      <c r="H139" s="5" t="s">
        <v>4</v>
      </c>
      <c r="I139" s="4"/>
      <c r="K139" s="5" t="s">
        <v>41</v>
      </c>
      <c r="N139" s="6"/>
    </row>
    <row r="140" spans="1:14" ht="27" customHeight="1" x14ac:dyDescent="0.3">
      <c r="A140" s="4">
        <v>138</v>
      </c>
      <c r="B140" s="7">
        <f t="shared" si="4"/>
        <v>0.62000000000000011</v>
      </c>
      <c r="C140" s="8">
        <v>3</v>
      </c>
      <c r="D140" s="8" t="s">
        <v>7</v>
      </c>
      <c r="E140" s="5" t="s">
        <v>30</v>
      </c>
      <c r="F140" s="4">
        <v>0.61950000000000005</v>
      </c>
      <c r="G140" s="3" t="s">
        <v>8</v>
      </c>
      <c r="H140" s="5" t="s">
        <v>7</v>
      </c>
      <c r="I140" s="4">
        <v>0.62</v>
      </c>
      <c r="J140" s="3" t="s">
        <v>8</v>
      </c>
      <c r="K140" s="5" t="s">
        <v>7</v>
      </c>
      <c r="L140" s="4">
        <v>0.62050000000000005</v>
      </c>
      <c r="M140" s="3" t="s">
        <v>49</v>
      </c>
      <c r="N140" s="6"/>
    </row>
    <row r="141" spans="1:14" ht="27" customHeight="1" x14ac:dyDescent="0.3">
      <c r="A141" s="4">
        <v>139</v>
      </c>
      <c r="B141" s="7">
        <f t="shared" si="4"/>
        <v>0.76516666666666666</v>
      </c>
      <c r="C141" s="8">
        <v>3</v>
      </c>
      <c r="D141" s="8" t="s">
        <v>7</v>
      </c>
      <c r="E141" s="5" t="s">
        <v>26</v>
      </c>
      <c r="F141" s="4">
        <v>0.76449999999999996</v>
      </c>
      <c r="G141" s="3" t="s">
        <v>8</v>
      </c>
      <c r="H141" s="5" t="s">
        <v>7</v>
      </c>
      <c r="I141" s="4">
        <v>0.76500000000000001</v>
      </c>
      <c r="J141" s="3" t="s">
        <v>8</v>
      </c>
      <c r="K141" s="5" t="s">
        <v>30</v>
      </c>
      <c r="L141" s="4">
        <v>0.76600000000000001</v>
      </c>
      <c r="M141" s="3" t="s">
        <v>34</v>
      </c>
      <c r="N141" s="6"/>
    </row>
    <row r="142" spans="1:14" ht="27" customHeight="1" x14ac:dyDescent="0.3">
      <c r="A142" s="4">
        <v>140</v>
      </c>
      <c r="B142" s="7" t="str">
        <f t="shared" si="4"/>
        <v/>
      </c>
      <c r="C142" s="8"/>
      <c r="D142" s="8" t="s">
        <v>70</v>
      </c>
      <c r="E142" s="5" t="s">
        <v>32</v>
      </c>
      <c r="H142" s="5" t="s">
        <v>11</v>
      </c>
      <c r="I142" s="4"/>
      <c r="K142" s="5" t="s">
        <v>32</v>
      </c>
      <c r="N142" s="6"/>
    </row>
    <row r="143" spans="1:14" ht="27" customHeight="1" x14ac:dyDescent="0.3">
      <c r="A143" s="4">
        <v>141</v>
      </c>
      <c r="B143" s="7">
        <f t="shared" si="4"/>
        <v>0.62</v>
      </c>
      <c r="C143" s="8">
        <v>3</v>
      </c>
      <c r="D143" s="8" t="s">
        <v>69</v>
      </c>
      <c r="E143" s="5" t="s">
        <v>41</v>
      </c>
      <c r="H143" s="5" t="s">
        <v>5</v>
      </c>
      <c r="I143" s="4">
        <v>0.62</v>
      </c>
      <c r="J143" s="3" t="s">
        <v>19</v>
      </c>
      <c r="K143" s="5" t="s">
        <v>26</v>
      </c>
      <c r="L143" s="4">
        <v>0.62</v>
      </c>
      <c r="M143" s="3" t="s">
        <v>34</v>
      </c>
      <c r="N143" s="6"/>
    </row>
    <row r="144" spans="1:14" ht="27" customHeight="1" x14ac:dyDescent="0.3">
      <c r="A144" s="4">
        <v>142</v>
      </c>
      <c r="B144" s="7" t="str">
        <f t="shared" si="4"/>
        <v/>
      </c>
      <c r="C144" s="8"/>
      <c r="D144" s="8" t="s">
        <v>72</v>
      </c>
      <c r="E144" s="5" t="s">
        <v>31</v>
      </c>
      <c r="H144" s="5" t="s">
        <v>3</v>
      </c>
      <c r="I144" s="4"/>
      <c r="K144" s="5" t="s">
        <v>31</v>
      </c>
      <c r="N144" s="6"/>
    </row>
  </sheetData>
  <phoneticPr fontId="18" type="noConversion"/>
  <conditionalFormatting sqref="B3:C144">
    <cfRule type="containsBlanks" dxfId="5" priority="8">
      <formula>LEN(TRIM(B3))=0</formula>
    </cfRule>
  </conditionalFormatting>
  <conditionalFormatting sqref="D3:D144">
    <cfRule type="expression" dxfId="4" priority="1">
      <formula>OR(D3="C", D3="D", D3="E", D3="F")</formula>
    </cfRule>
  </conditionalFormatting>
  <conditionalFormatting sqref="E3:M144">
    <cfRule type="cellIs" dxfId="3" priority="4" operator="equal">
      <formula>"C (cs)"</formula>
    </cfRule>
    <cfRule type="cellIs" dxfId="2" priority="5" operator="equal">
      <formula>"D (gc)"</formula>
    </cfRule>
    <cfRule type="cellIs" dxfId="1" priority="6" operator="equal">
      <formula>"E (fc)"</formula>
    </cfRule>
    <cfRule type="cellIs" dxfId="0" priority="7" operator="equal">
      <formula>"F (ns)"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F7E-87B7-432E-A785-238CA37AFE4C}">
  <dimension ref="A1:E9"/>
  <sheetViews>
    <sheetView workbookViewId="0">
      <selection activeCell="D1" sqref="D1"/>
    </sheetView>
  </sheetViews>
  <sheetFormatPr defaultColWidth="8.796875" defaultRowHeight="18.75" x14ac:dyDescent="0.3"/>
  <cols>
    <col min="1" max="1" width="6.3984375" style="1" bestFit="1" customWidth="1"/>
    <col min="2" max="2" width="8.3984375" style="1" bestFit="1" customWidth="1"/>
    <col min="3" max="3" width="8.796875" style="1"/>
    <col min="4" max="4" width="12.8984375" style="1" bestFit="1" customWidth="1"/>
    <col min="5" max="16384" width="8.796875" style="1"/>
  </cols>
  <sheetData>
    <row r="1" spans="1:5" x14ac:dyDescent="0.3">
      <c r="A1" s="2" t="s">
        <v>29</v>
      </c>
      <c r="B1" s="2" t="s">
        <v>67</v>
      </c>
      <c r="D1" s="2" t="s">
        <v>68</v>
      </c>
      <c r="E1" s="2" t="s">
        <v>67</v>
      </c>
    </row>
    <row r="2" spans="1:5" x14ac:dyDescent="0.3">
      <c r="A2" s="2">
        <v>1</v>
      </c>
      <c r="B2" s="2">
        <f>COUNTIF(redshift_table!C3:C144, "")</f>
        <v>36</v>
      </c>
      <c r="D2" s="2" t="s">
        <v>7</v>
      </c>
      <c r="E2" s="2">
        <f>COUNTIF(redshift_table!D3:D144, "A")</f>
        <v>71</v>
      </c>
    </row>
    <row r="3" spans="1:5" x14ac:dyDescent="0.3">
      <c r="A3" s="2">
        <v>2</v>
      </c>
      <c r="B3" s="2">
        <f>COUNTIF(redshift_table!C:C, 2)</f>
        <v>6</v>
      </c>
      <c r="D3" s="2" t="s">
        <v>75</v>
      </c>
      <c r="E3" s="2">
        <f>COUNTIF(redshift_table!D3:D144, "AS")</f>
        <v>5</v>
      </c>
    </row>
    <row r="4" spans="1:5" x14ac:dyDescent="0.3">
      <c r="A4" s="2">
        <v>3</v>
      </c>
      <c r="B4" s="2">
        <f>COUNTIF(redshift_table!C:C, 3)</f>
        <v>100</v>
      </c>
      <c r="D4" s="2" t="s">
        <v>69</v>
      </c>
      <c r="E4" s="2">
        <f>COUNTIF(redshift_table!D3:D144, "B")</f>
        <v>25</v>
      </c>
    </row>
    <row r="5" spans="1:5" x14ac:dyDescent="0.3">
      <c r="D5" s="1" t="s">
        <v>74</v>
      </c>
      <c r="E5" s="2">
        <f>COUNTIF(redshift_table!D3:D144, "BS")</f>
        <v>5</v>
      </c>
    </row>
    <row r="6" spans="1:5" x14ac:dyDescent="0.3">
      <c r="D6" s="1" t="s">
        <v>73</v>
      </c>
      <c r="E6" s="2">
        <f>COUNTIF(redshift_table!D3:D144, "C")</f>
        <v>8</v>
      </c>
    </row>
    <row r="7" spans="1:5" x14ac:dyDescent="0.3">
      <c r="D7" s="1" t="s">
        <v>70</v>
      </c>
      <c r="E7" s="2">
        <f>COUNTIF(redshift_table!D3:D144, "D")</f>
        <v>4</v>
      </c>
    </row>
    <row r="8" spans="1:5" x14ac:dyDescent="0.3">
      <c r="D8" s="1" t="s">
        <v>71</v>
      </c>
      <c r="E8" s="2">
        <f>COUNTIF(redshift_table!D3:D144, "E")</f>
        <v>20</v>
      </c>
    </row>
    <row r="9" spans="1:5" x14ac:dyDescent="0.3">
      <c r="D9" s="1" t="s">
        <v>72</v>
      </c>
      <c r="E9" s="2">
        <f>COUNTIF(redshift_table!D3:D144, "F")</f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redshift_table</vt:lpstr>
      <vt:lpstr>other_calculations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14477</dc:creator>
  <cp:lastModifiedBy>M12189</cp:lastModifiedBy>
  <dcterms:created xsi:type="dcterms:W3CDTF">2025-06-14T09:03:30Z</dcterms:created>
  <dcterms:modified xsi:type="dcterms:W3CDTF">2025-10-08T08:52:17Z</dcterms:modified>
</cp:coreProperties>
</file>