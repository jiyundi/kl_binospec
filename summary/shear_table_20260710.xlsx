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28" windowWidth="13764" windowHeight="10236" tabRatio="600" firstSheet="0" activeTab="0" autoFilterDateGrouping="1"/>
  </bookViews>
  <sheets>
    <sheet name="redshift_table" sheetId="1" state="visible" r:id="rId1"/>
    <sheet name="other_calculations" sheetId="2" state="visible" r:id="rId2"/>
  </sheets>
  <definedNames>
    <definedName name="_xlchart.v1.0" hidden="1">redshift_table!$B$3:$B$144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);[Red]\(0.000\)"/>
    <numFmt numFmtId="165" formatCode="0_);[Red]\(0\)"/>
  </numFmts>
  <fonts count="22">
    <font>
      <name val="Consolas"/>
      <charset val="134"/>
      <family val="2"/>
      <color theme="1"/>
      <sz val="14"/>
    </font>
    <font>
      <name val="Consolas"/>
      <charset val="134"/>
      <family val="2"/>
      <color theme="1"/>
      <sz val="14"/>
    </font>
    <font>
      <name val="Aptos Display"/>
      <charset val="134"/>
      <family val="2"/>
      <color theme="3"/>
      <sz val="18"/>
      <scheme val="major"/>
    </font>
    <font>
      <name val="Consolas"/>
      <charset val="134"/>
      <family val="2"/>
      <b val="1"/>
      <color theme="3"/>
      <sz val="15"/>
    </font>
    <font>
      <name val="Consolas"/>
      <charset val="134"/>
      <family val="2"/>
      <b val="1"/>
      <color theme="3"/>
      <sz val="13"/>
    </font>
    <font>
      <name val="Consolas"/>
      <charset val="134"/>
      <family val="2"/>
      <b val="1"/>
      <color theme="3"/>
      <sz val="11"/>
    </font>
    <font>
      <name val="Consolas"/>
      <charset val="134"/>
      <family val="2"/>
      <color rgb="FF006100"/>
      <sz val="14"/>
    </font>
    <font>
      <name val="Consolas"/>
      <charset val="134"/>
      <family val="2"/>
      <color rgb="FF9C0006"/>
      <sz val="14"/>
    </font>
    <font>
      <name val="Consolas"/>
      <charset val="134"/>
      <family val="2"/>
      <color rgb="FF9C5700"/>
      <sz val="14"/>
    </font>
    <font>
      <name val="Consolas"/>
      <charset val="134"/>
      <family val="2"/>
      <color rgb="FF3F3F76"/>
      <sz val="14"/>
    </font>
    <font>
      <name val="Consolas"/>
      <charset val="134"/>
      <family val="2"/>
      <b val="1"/>
      <color rgb="FF3F3F3F"/>
      <sz val="14"/>
    </font>
    <font>
      <name val="Consolas"/>
      <charset val="134"/>
      <family val="2"/>
      <b val="1"/>
      <color rgb="FFFA7D00"/>
      <sz val="14"/>
    </font>
    <font>
      <name val="Consolas"/>
      <charset val="134"/>
      <family val="2"/>
      <color rgb="FFFA7D00"/>
      <sz val="14"/>
    </font>
    <font>
      <name val="Consolas"/>
      <charset val="134"/>
      <family val="2"/>
      <b val="1"/>
      <color theme="0"/>
      <sz val="14"/>
    </font>
    <font>
      <name val="Consolas"/>
      <charset val="134"/>
      <family val="2"/>
      <color rgb="FFFF0000"/>
      <sz val="14"/>
    </font>
    <font>
      <name val="Consolas"/>
      <charset val="134"/>
      <family val="2"/>
      <i val="1"/>
      <color rgb="FF7F7F7F"/>
      <sz val="14"/>
    </font>
    <font>
      <name val="Consolas"/>
      <charset val="134"/>
      <family val="2"/>
      <b val="1"/>
      <color theme="1"/>
      <sz val="14"/>
    </font>
    <font>
      <name val="Consolas"/>
      <charset val="134"/>
      <family val="2"/>
      <color theme="0"/>
      <sz val="14"/>
    </font>
    <font>
      <name val="Consolas"/>
      <charset val="134"/>
      <family val="2"/>
      <sz val="9"/>
    </font>
    <font>
      <name val="Consolas"/>
      <family val="3"/>
      <color theme="1"/>
      <sz val="14"/>
    </font>
    <font>
      <name val="Consolas"/>
      <family val="3"/>
      <b val="1"/>
      <color theme="1"/>
      <sz val="8"/>
    </font>
    <font>
      <name val="Consolas"/>
      <family val="3"/>
      <color theme="1"/>
      <sz val="8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21" fillId="0" borderId="10" applyAlignment="1" pivotButton="0" quotePrefix="0" xfId="0">
      <alignment vertical="center"/>
    </xf>
    <xf numFmtId="164" fontId="20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AC8C8"/>
        </patternFill>
      </fill>
    </dxf>
    <dxf>
      <fill>
        <patternFill>
          <bgColor rgb="FFFFC7CE"/>
        </patternFill>
      </fill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border outline="0">
        <left style="thin">
          <color indexed="64"/>
        </left>
        <right/>
        <top/>
        <bottom/>
      </border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ndense val="0"/>
        <color theme="1"/>
        <extend val="0"/>
        <sz val="8"/>
        <vertAlign val="baseline"/>
      </font>
      <numFmt numFmtId="165" formatCode="0_);[Red]\(0\)"/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  <numFmt numFmtId="165" formatCode="0_);[Red]\(0\)"/>
    </dxf>
    <dxf>
      <font>
        <name val="Consolas"/>
        <family val="3"/>
        <b val="1"/>
        <strike val="0"/>
        <outline val="0"/>
        <shadow val="0"/>
        <color theme="1"/>
        <sz val="8"/>
        <vertAlign val="baseline"/>
      </font>
      <numFmt numFmtId="164" formatCode="0.000_);[Red]\(0.000\)"/>
    </dxf>
    <dxf>
      <font>
        <name val="Consolas"/>
        <family val="3"/>
        <b val="1"/>
        <strike val="0"/>
        <outline val="0"/>
        <shadow val="0"/>
        <condense val="0"/>
        <color theme="1"/>
        <extend val="0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  <dxf>
      <font>
        <name val="Consolas"/>
        <family val="3"/>
        <strike val="0"/>
        <outline val="0"/>
        <shadow val="0"/>
        <color theme="1"/>
        <sz val="8"/>
        <vertAlign val="baseline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Secure (conf&gt;=2) redshift</a:t>
            </a:r>
            <a:r>
              <a:rPr lang="en-US" altLang="zh-CN" sz="1800" b="1" baseline="0">
                <a:solidFill>
                  <a:schemeClr val="tx2"/>
                </a:solidFill>
              </a:rPr>
              <a:t xml:space="preserve"> confidence distribution</a:t>
            </a:r>
            <a:endParaRPr lang="en-US" altLang="zh-CN" sz="1800" b="1">
              <a:solidFill>
                <a:schemeClr val="tx2"/>
              </a:solidFill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 alt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850835828620014"/>
          <y val="0.2395853860513425"/>
          <w val="0.6373445713651991"/>
          <h val="0.604966103835951"/>
        </manualLayout>
      </layout>
      <doughnutChart>
        <varyColors val="1"/>
        <ser>
          <idx val="1"/>
          <order val="0"/>
          <tx>
            <strRef>
              <f>other_calculations!$B$1</f>
              <strCache>
                <ptCount val="1"/>
                <pt idx="0">
                  <v>amount</v>
                </pt>
              </strCache>
            </strRef>
          </tx>
          <spPr>
            <a:ln w="0">
              <a:prstDash val="solid"/>
            </a:ln>
          </spPr>
          <explosion val="10"/>
          <dPt>
            <idx val="0"/>
            <bubble3D val="0"/>
            <spPr>
              <a:solidFill>
                <a:schemeClr val="accent2"/>
              </a:solidFill>
              <a:ln w="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4"/>
              </a:solidFill>
              <a:ln w="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6"/>
              </a:solidFill>
              <a:ln w="0">
                <a:solidFill>
                  <a:schemeClr val="lt1"/>
                </a:solidFill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val>
            <numRef>
              <f>other_calculations!$B$2:$B$4</f>
              <numCache>
                <formatCode>General</formatCode>
                <ptCount val="3"/>
                <pt idx="0">
                  <v>36</v>
                </pt>
                <pt idx="1">
                  <v>6</v>
                </pt>
                <pt idx="2">
                  <v>100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30"/>
        <holeSize val="31"/>
      </doughnut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1">
                <a:solidFill>
                  <a:schemeClr val="tx2"/>
                </a:solidFill>
              </a:rPr>
              <a:t>3-set comprehensive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>rotation curve</a:t>
            </a:r>
            <a:r>
              <a:rPr lang="en-US" altLang="zh-CN" sz="1800" b="1" baseline="0">
                <a:solidFill>
                  <a:schemeClr val="tx2"/>
                </a:solidFill>
              </a:rPr>
              <a:t> </a:t>
            </a:r>
            <a:r>
              <a:rPr lang="en-US" altLang="zh-CN" sz="1800" b="1">
                <a:solidFill>
                  <a:schemeClr val="tx2"/>
                </a:solidFill>
              </a:rPr>
              <a:t xml:space="preserve">quality </a:t>
            </a:r>
            <a:r>
              <a:rPr lang="en-US" altLang="zh-CN" sz="1800" b="1" baseline="0">
                <a:solidFill>
                  <a:schemeClr val="tx2"/>
                </a:solidFill>
              </a:rPr>
              <a:t>distribution</a:t>
            </a:r>
            <a:endParaRPr lang="en-US" altLang="zh-CN" sz="1800" b="1">
              <a:solidFill>
                <a:schemeClr val="tx2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1453840710275222"/>
          <y val="0.0273411502046468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 alt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850835828620014"/>
          <y val="0.2332354948944763"/>
          <w val="0.6373445713651991"/>
          <h val="0.604966103835951"/>
        </manualLayout>
      </layout>
      <doughnutChart>
        <varyColors val="1"/>
        <ser>
          <idx val="0"/>
          <order val="0"/>
          <tx>
            <strRef>
              <f>other_calculations!$E$1</f>
              <strCache>
                <ptCount val="1"/>
                <pt idx="0">
                  <v>amount</v>
                </pt>
              </strCache>
            </strRef>
          </tx>
          <spPr>
            <a:ln>
              <a:prstDash val="solid"/>
            </a:ln>
          </spPr>
          <explosion val="18"/>
          <dPt>
            <idx val="0"/>
            <bubble3D val="0"/>
            <spPr>
              <a:solidFill>
                <a:schemeClr val="accent1">
                  <a:tint val="4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1">
                  <a:tint val="62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1">
                  <a:tint val="93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1">
                  <a:shade val="92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shade val="61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1">
                  <a:shade val="4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dLbl>
              <idx val="4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CN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other_calculations!$D$2:$D$9</f>
              <strCache>
                <ptCount val="8"/>
                <pt idx="0">
                  <v>A</v>
                </pt>
                <pt idx="1">
                  <v>AS</v>
                </pt>
                <pt idx="2">
                  <v>B</v>
                </pt>
                <pt idx="3">
                  <v>BS</v>
                </pt>
                <pt idx="4">
                  <v>C</v>
                </pt>
                <pt idx="5">
                  <v>D</v>
                </pt>
                <pt idx="6">
                  <v>E</v>
                </pt>
                <pt idx="7">
                  <v>F</v>
                </pt>
              </strCache>
            </strRef>
          </cat>
          <val>
            <numRef>
              <f>other_calculations!$E$2:$E$9</f>
              <numCache>
                <formatCode>General</formatCode>
                <ptCount val="8"/>
                <pt idx="0">
                  <v>71</v>
                </pt>
                <pt idx="1">
                  <v>5</v>
                </pt>
                <pt idx="2">
                  <v>25</v>
                </pt>
                <pt idx="3">
                  <v>5</v>
                </pt>
                <pt idx="4">
                  <v>8</v>
                </pt>
                <pt idx="5">
                  <v>4</v>
                </pt>
                <pt idx="6">
                  <v>20</v>
                </pt>
                <pt idx="7">
                  <v>4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248"/>
        <holeSize val="25"/>
      </doughnutChart>
    </plotArea>
    <legend>
      <legendPos val="b"/>
      <layout>
        <manualLayout>
          <xMode val="edge"/>
          <yMode val="edge"/>
          <wMode val="factor"/>
          <hMode val="factor"/>
          <x val="0"/>
          <y val="0.9169193665060711"/>
          <w val="1"/>
          <h val="0.0830806334939287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rtl="0"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180975</colOff>
      <row>144</row>
      <rowOff>180975</rowOff>
    </from>
    <to>
      <col>13</col>
      <colOff>3562350</colOff>
      <row>154</row>
      <rowOff>314325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84667</colOff>
      <row>155</row>
      <rowOff>67732</rowOff>
    </from>
    <to>
      <col>5</col>
      <colOff>561975</colOff>
      <row>166</row>
      <rowOff>169334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2:O144" headerRowCount="1" totalsRowShown="0" headerRowDxfId="22" dataDxfId="21">
  <autoFilter ref="A2:O144"/>
  <tableColumns count="15">
    <tableColumn id="1" name="slit" dataDxfId="20"/>
    <tableColumn id="7" name="z" dataDxfId="19">
      <calculatedColumnFormula>IFERROR(AVERAGE(F3,L3,I3),"")</calculatedColumnFormula>
    </tableColumn>
    <tableColumn id="9" name="conf" dataDxfId="18"/>
    <tableColumn id="6" name="spec_quality" dataDxfId="17"/>
    <tableColumn id="5" name="grade1" dataDxfId="16"/>
    <tableColumn id="13" name="z1" dataDxfId="15"/>
    <tableColumn id="3" name="lines1" dataDxfId="14"/>
    <tableColumn id="16" name="grade3" dataDxfId="13"/>
    <tableColumn id="15" name="z3" dataDxfId="12"/>
    <tableColumn id="14" name="lines3" dataDxfId="11"/>
    <tableColumn id="2" name="grade2" dataDxfId="10"/>
    <tableColumn id="11" name="z2" dataDxfId="9"/>
    <tableColumn id="4" name="lines2" dataDxfId="8"/>
    <tableColumn id="10" name="note" dataDxfId="7"/>
    <tableColumn id="8" name="bad_line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44"/>
  <sheetViews>
    <sheetView tabSelected="1" zoomScaleNormal="100" workbookViewId="0">
      <pane xSplit="1" ySplit="2" topLeftCell="G131" activePane="bottomRight" state="frozen"/>
      <selection pane="topRight" activeCell="B1" sqref="B1"/>
      <selection pane="bottomLeft" activeCell="A3" sqref="A3"/>
      <selection pane="bottomRight" activeCell="P136" sqref="P136"/>
    </sheetView>
  </sheetViews>
  <sheetFormatPr baseColWidth="8" defaultColWidth="8.765625" defaultRowHeight="27" customHeight="1"/>
  <cols>
    <col width="5.23046875" bestFit="1" customWidth="1" style="3" min="1" max="1"/>
    <col width="4.765625" bestFit="1" customWidth="1" style="3" min="2" max="2"/>
    <col width="5.23046875" bestFit="1" customWidth="1" style="4" min="3" max="3"/>
    <col width="10" bestFit="1" customWidth="1" style="4" min="4" max="4"/>
    <col width="10.23046875" bestFit="1" customWidth="1" style="3" min="5" max="5"/>
    <col width="4.765625" bestFit="1" customWidth="1" style="3" min="6" max="6"/>
    <col width="12.23046875" bestFit="1" customWidth="1" style="4" min="7" max="7"/>
    <col width="6.3828125" bestFit="1" customWidth="1" style="4" min="8" max="8"/>
    <col width="4.765625" bestFit="1" customWidth="1" style="4" min="9" max="9"/>
    <col width="9.61328125" bestFit="1" customWidth="1" style="4" min="10" max="10"/>
    <col width="6.3828125" bestFit="1" customWidth="1" style="3" min="11" max="11"/>
    <col width="4.765625" bestFit="1" customWidth="1" style="3" min="12" max="12"/>
    <col width="9" bestFit="1" customWidth="1" style="4" min="13" max="13"/>
    <col width="6.61328125" customWidth="1" style="3" min="14" max="14"/>
    <col width="7.61328125" bestFit="1" customWidth="1" style="4" min="15" max="15"/>
    <col width="67" bestFit="1" customWidth="1" style="4" min="16" max="16"/>
    <col width="8" bestFit="1" customWidth="1" style="4" min="17" max="17"/>
    <col width="67" bestFit="1" customWidth="1" style="4" min="18" max="18"/>
    <col width="8.765625" customWidth="1" style="4" min="19" max="16384"/>
  </cols>
  <sheetData>
    <row r="1" ht="27" customHeight="1" s="9">
      <c r="B1" s="3" t="inlineStr">
        <is>
          <t>All</t>
        </is>
      </c>
      <c r="E1" s="5" t="inlineStr">
        <is>
          <t>Set_A_m1_231023</t>
        </is>
      </c>
      <c r="H1" s="5" t="inlineStr">
        <is>
          <t>Set_C</t>
        </is>
      </c>
      <c r="K1" s="5" t="inlineStr">
        <is>
          <t>Set_B_p1</t>
        </is>
      </c>
      <c r="N1" s="6" t="n"/>
    </row>
    <row r="2" ht="27" customHeight="1" s="9">
      <c r="A2" s="3" t="inlineStr">
        <is>
          <t>slit</t>
        </is>
      </c>
      <c r="B2" s="3" t="inlineStr">
        <is>
          <t>z</t>
        </is>
      </c>
      <c r="C2" s="4" t="inlineStr">
        <is>
          <t>conf</t>
        </is>
      </c>
      <c r="D2" s="4" t="inlineStr">
        <is>
          <t>spec_quality</t>
        </is>
      </c>
      <c r="E2" s="5" t="inlineStr">
        <is>
          <t>grade1</t>
        </is>
      </c>
      <c r="F2" s="3" t="inlineStr">
        <is>
          <t>z1</t>
        </is>
      </c>
      <c r="G2" s="4" t="inlineStr">
        <is>
          <t>lines1</t>
        </is>
      </c>
      <c r="H2" s="5" t="inlineStr">
        <is>
          <t>grade3</t>
        </is>
      </c>
      <c r="I2" s="3" t="inlineStr">
        <is>
          <t>z3</t>
        </is>
      </c>
      <c r="J2" s="4" t="inlineStr">
        <is>
          <t>lines3</t>
        </is>
      </c>
      <c r="K2" s="5" t="inlineStr">
        <is>
          <t>grade2</t>
        </is>
      </c>
      <c r="L2" s="3" t="inlineStr">
        <is>
          <t>z2</t>
        </is>
      </c>
      <c r="M2" s="4" t="inlineStr">
        <is>
          <t>lines2</t>
        </is>
      </c>
      <c r="N2" s="6" t="inlineStr">
        <is>
          <t>note</t>
        </is>
      </c>
      <c r="O2" s="4" t="inlineStr">
        <is>
          <t>bad_line</t>
        </is>
      </c>
      <c r="P2" t="inlineStr">
        <is>
          <t>slit_RA</t>
        </is>
      </c>
      <c r="Q2" t="inlineStr">
        <is>
          <t>slit_DEC</t>
        </is>
      </c>
      <c r="R2" t="inlineStr">
        <is>
          <t>M_s</t>
        </is>
      </c>
      <c r="S2" t="inlineStr">
        <is>
          <t>M_s_err</t>
        </is>
      </c>
      <c r="T2" t="inlineStr">
        <is>
          <t>g1_bestfit</t>
        </is>
      </c>
      <c r="U2" t="inlineStr">
        <is>
          <t>g1_peak</t>
        </is>
      </c>
      <c r="V2" t="inlineStr">
        <is>
          <t>g1_median</t>
        </is>
      </c>
      <c r="W2" t="inlineStr">
        <is>
          <t>g1_err-</t>
        </is>
      </c>
      <c r="X2" t="inlineStr">
        <is>
          <t>g1_err+</t>
        </is>
      </c>
      <c r="Y2" t="inlineStr">
        <is>
          <t>g2_bestfit</t>
        </is>
      </c>
      <c r="Z2" t="inlineStr">
        <is>
          <t>g2_peak</t>
        </is>
      </c>
      <c r="AA2" t="inlineStr">
        <is>
          <t>g2_median</t>
        </is>
      </c>
      <c r="AB2" t="inlineStr">
        <is>
          <t>g2_err-</t>
        </is>
      </c>
      <c r="AC2" t="inlineStr">
        <is>
          <t>g2_err+</t>
        </is>
      </c>
      <c r="AD2" t="inlineStr">
        <is>
          <t>theta_int_bestfit</t>
        </is>
      </c>
      <c r="AE2" t="inlineStr">
        <is>
          <t>theta_int_peak</t>
        </is>
      </c>
      <c r="AF2" t="inlineStr">
        <is>
          <t>theta_int_median</t>
        </is>
      </c>
      <c r="AG2" t="inlineStr">
        <is>
          <t>theta_int_err-</t>
        </is>
      </c>
      <c r="AH2" t="inlineStr">
        <is>
          <t>theta_int_err+</t>
        </is>
      </c>
      <c r="AI2" t="inlineStr">
        <is>
          <t>vcirc_bestfit</t>
        </is>
      </c>
      <c r="AJ2" t="inlineStr">
        <is>
          <t>vcirc_peak</t>
        </is>
      </c>
      <c r="AK2" t="inlineStr">
        <is>
          <t>vcirc_median</t>
        </is>
      </c>
      <c r="AL2" t="inlineStr">
        <is>
          <t>vcirc_err-</t>
        </is>
      </c>
      <c r="AM2" t="inlineStr">
        <is>
          <t>vcirc_err+</t>
        </is>
      </c>
      <c r="AN2" t="inlineStr">
        <is>
          <t>cosi_bestfit</t>
        </is>
      </c>
      <c r="AO2" t="inlineStr">
        <is>
          <t>cosi_peak</t>
        </is>
      </c>
      <c r="AP2" t="inlineStr">
        <is>
          <t>cosi_median</t>
        </is>
      </c>
      <c r="AQ2" t="inlineStr">
        <is>
          <t>cosi_err-</t>
        </is>
      </c>
      <c r="AR2" t="inlineStr">
        <is>
          <t>cosi_err+</t>
        </is>
      </c>
      <c r="AS2" t="inlineStr">
        <is>
          <t>r_hl_disk_bestfit</t>
        </is>
      </c>
      <c r="AT2" t="inlineStr">
        <is>
          <t>r_hl_disk_peak</t>
        </is>
      </c>
      <c r="AU2" t="inlineStr">
        <is>
          <t>r_hl_disk_median</t>
        </is>
      </c>
      <c r="AV2" t="inlineStr">
        <is>
          <t>r_hl_disk_err-</t>
        </is>
      </c>
      <c r="AW2" t="inlineStr">
        <is>
          <t>r_hl_disk_err+</t>
        </is>
      </c>
      <c r="AX2" t="inlineStr">
        <is>
          <t>flux_bestfit</t>
        </is>
      </c>
      <c r="AY2" t="inlineStr">
        <is>
          <t>flux_peak</t>
        </is>
      </c>
      <c r="AZ2" t="inlineStr">
        <is>
          <t>flux_median</t>
        </is>
      </c>
      <c r="BA2" t="inlineStr">
        <is>
          <t>flux_err-</t>
        </is>
      </c>
      <c r="BB2" t="inlineStr">
        <is>
          <t>flux_err+</t>
        </is>
      </c>
      <c r="BC2" t="inlineStr">
        <is>
          <t>dx_disk_bestfit</t>
        </is>
      </c>
      <c r="BD2" t="inlineStr">
        <is>
          <t>dx_disk_peak</t>
        </is>
      </c>
      <c r="BE2" t="inlineStr">
        <is>
          <t>dx_disk_median</t>
        </is>
      </c>
      <c r="BF2" t="inlineStr">
        <is>
          <t>dx_disk_err-</t>
        </is>
      </c>
      <c r="BG2" t="inlineStr">
        <is>
          <t>dx_disk_err+</t>
        </is>
      </c>
      <c r="BH2" t="inlineStr">
        <is>
          <t>dy_disk_bestfit</t>
        </is>
      </c>
      <c r="BI2" t="inlineStr">
        <is>
          <t>dy_disk_peak</t>
        </is>
      </c>
      <c r="BJ2" t="inlineStr">
        <is>
          <t>dy_disk_median</t>
        </is>
      </c>
      <c r="BK2" t="inlineStr">
        <is>
          <t>dy_disk_err-</t>
        </is>
      </c>
      <c r="BL2" t="inlineStr">
        <is>
          <t>dy_disk_err+</t>
        </is>
      </c>
      <c r="BM2" t="inlineStr">
        <is>
          <t>vscale_bestfit</t>
        </is>
      </c>
      <c r="BN2" t="inlineStr">
        <is>
          <t>vscale_peak</t>
        </is>
      </c>
      <c r="BO2" t="inlineStr">
        <is>
          <t>vscale_median</t>
        </is>
      </c>
      <c r="BP2" t="inlineStr">
        <is>
          <t>vscale_err-</t>
        </is>
      </c>
      <c r="BQ2" t="inlineStr">
        <is>
          <t>vscale_err+</t>
        </is>
      </c>
    </row>
    <row r="3" ht="27" customHeight="1" s="9">
      <c r="A3" s="3" t="n">
        <v>1</v>
      </c>
      <c r="B3" s="7">
        <f>IFERROR(AVERAGE(F3,L3,I3),"")</f>
        <v/>
      </c>
      <c r="C3" s="8" t="n"/>
      <c r="D3" s="8" t="inlineStr">
        <is>
          <t>F</t>
        </is>
      </c>
      <c r="E3" s="5" t="inlineStr">
        <is>
          <t>F (ns)</t>
        </is>
      </c>
      <c r="H3" s="5" t="inlineStr">
        <is>
          <t>F (ns)</t>
        </is>
      </c>
      <c r="I3" s="3" t="n"/>
      <c r="K3" s="5" t="inlineStr">
        <is>
          <t>F (ns)</t>
        </is>
      </c>
      <c r="N3" s="6" t="n"/>
      <c r="P3" t="n">
        <v>42.166334</v>
      </c>
      <c r="Q3" t="n">
        <v>-3.4023557</v>
      </c>
    </row>
    <row r="4" ht="27" customHeight="1" s="9">
      <c r="A4" s="3" t="n">
        <v>2</v>
      </c>
      <c r="B4" s="7">
        <f>IFERROR(AVERAGE(F4,L4,I4),"")</f>
        <v/>
      </c>
      <c r="C4" s="8" t="n"/>
      <c r="D4" s="8" t="inlineStr">
        <is>
          <t>E</t>
        </is>
      </c>
      <c r="E4" s="5" t="inlineStr">
        <is>
          <t>E (fc)</t>
        </is>
      </c>
      <c r="H4" s="5" t="inlineStr">
        <is>
          <t>E (fc)</t>
        </is>
      </c>
      <c r="I4" s="3" t="n"/>
      <c r="K4" s="5" t="inlineStr">
        <is>
          <t>E (fc)</t>
        </is>
      </c>
      <c r="N4" s="6" t="n"/>
      <c r="P4" t="n">
        <v>42.195348</v>
      </c>
      <c r="Q4" t="n">
        <v>-3.4206981</v>
      </c>
    </row>
    <row r="5" ht="27" customHeight="1" s="9">
      <c r="A5" s="3" t="n">
        <v>3</v>
      </c>
      <c r="B5" s="7">
        <f>IFERROR(AVERAGE(F5,L5,I5),"")</f>
        <v/>
      </c>
      <c r="C5" s="8" t="n">
        <v>3</v>
      </c>
      <c r="D5" s="8" t="inlineStr">
        <is>
          <t>A</t>
        </is>
      </c>
      <c r="E5" s="5" t="inlineStr">
        <is>
          <t>F (ns)</t>
        </is>
      </c>
      <c r="H5" s="5" t="inlineStr">
        <is>
          <t>A</t>
        </is>
      </c>
      <c r="I5" s="3" t="n">
        <v>0.773</v>
      </c>
      <c r="J5" s="4" t="inlineStr">
        <is>
          <t>Hb,O3a,O3b</t>
        </is>
      </c>
      <c r="K5" s="5" t="inlineStr">
        <is>
          <t>B (sky)</t>
        </is>
      </c>
      <c r="L5" s="3" t="n">
        <v>0.773</v>
      </c>
      <c r="M5" s="4" t="inlineStr">
        <is>
          <t>O3a,O3b</t>
        </is>
      </c>
      <c r="N5" s="6" t="n"/>
      <c r="O5" s="4" t="inlineStr">
        <is>
          <t>Hb,O3a</t>
        </is>
      </c>
      <c r="P5" t="n">
        <v>42.179617</v>
      </c>
      <c r="Q5" t="n">
        <v>-3.4185339</v>
      </c>
      <c r="R5" t="n">
        <v>9.672000000000001</v>
      </c>
      <c r="S5" t="n">
        <v>0.098</v>
      </c>
    </row>
    <row r="6" ht="27" customHeight="1" s="9">
      <c r="A6" s="3" t="n">
        <v>4</v>
      </c>
      <c r="B6" s="7">
        <f>IFERROR(AVERAGE(F6,L6,I6),"")</f>
        <v/>
      </c>
      <c r="C6" s="8" t="n">
        <v>3</v>
      </c>
      <c r="D6" s="8" t="inlineStr">
        <is>
          <t>B</t>
        </is>
      </c>
      <c r="E6" s="5" t="inlineStr">
        <is>
          <t>F (ns)</t>
        </is>
      </c>
      <c r="H6" s="5" t="inlineStr">
        <is>
          <t>B (sky)</t>
        </is>
      </c>
      <c r="I6" s="3" t="n">
        <v>0.668</v>
      </c>
      <c r="J6" s="4" t="inlineStr">
        <is>
          <t>Hb,O3b</t>
        </is>
      </c>
      <c r="K6" s="5" t="inlineStr">
        <is>
          <t>B (sky)</t>
        </is>
      </c>
      <c r="L6" s="3" t="n">
        <v>0.6685</v>
      </c>
      <c r="M6" s="4" t="inlineStr">
        <is>
          <t>Hb,O3b</t>
        </is>
      </c>
      <c r="N6" s="6" t="n"/>
      <c r="P6" t="n">
        <v>42.202186</v>
      </c>
      <c r="Q6" t="n">
        <v>-3.431905</v>
      </c>
    </row>
    <row r="7" ht="27" customHeight="1" s="9">
      <c r="A7" s="3" t="n">
        <v>5</v>
      </c>
      <c r="B7" s="7">
        <f>IFERROR(AVERAGE(F7,L7,I7),"")</f>
        <v/>
      </c>
      <c r="C7" s="8" t="n">
        <v>3</v>
      </c>
      <c r="D7" s="8" t="inlineStr">
        <is>
          <t>A</t>
        </is>
      </c>
      <c r="E7" s="5" t="inlineStr">
        <is>
          <t>B (sky)</t>
        </is>
      </c>
      <c r="F7" s="3" t="n">
        <v>0.8465</v>
      </c>
      <c r="G7" s="4" t="inlineStr">
        <is>
          <t>Hb,O3b</t>
        </is>
      </c>
      <c r="H7" s="5" t="inlineStr">
        <is>
          <t>A</t>
        </is>
      </c>
      <c r="I7" s="3" t="n">
        <v>0.846</v>
      </c>
      <c r="J7" s="4" t="inlineStr">
        <is>
          <t>Hg,Hb,O3b</t>
        </is>
      </c>
      <c r="K7" s="5" t="inlineStr">
        <is>
          <t>A</t>
        </is>
      </c>
      <c r="L7" s="3" t="n">
        <v>0.846</v>
      </c>
      <c r="M7" s="4" t="inlineStr">
        <is>
          <t>Hb,O3b</t>
        </is>
      </c>
      <c r="N7" s="6" t="n"/>
      <c r="O7" s="4" t="inlineStr">
        <is>
          <t>Hg</t>
        </is>
      </c>
      <c r="P7" t="n">
        <v>42.199228</v>
      </c>
      <c r="Q7" t="n">
        <v>-3.4354826</v>
      </c>
      <c r="R7" t="n">
        <v>9.951000000000001</v>
      </c>
      <c r="S7" t="n">
        <v>0.052</v>
      </c>
    </row>
    <row r="8" ht="27" customHeight="1" s="9">
      <c r="A8" s="3" t="n">
        <v>6</v>
      </c>
      <c r="B8" s="7">
        <f>IFERROR(AVERAGE(F8,L8,I8),"")</f>
        <v/>
      </c>
      <c r="C8" s="8" t="n"/>
      <c r="D8" s="8" t="inlineStr">
        <is>
          <t>D</t>
        </is>
      </c>
      <c r="E8" s="5" t="inlineStr">
        <is>
          <t>D (gc)</t>
        </is>
      </c>
      <c r="H8" s="5" t="inlineStr">
        <is>
          <t>D (gc)</t>
        </is>
      </c>
      <c r="I8" s="3" t="n"/>
      <c r="K8" s="5" t="inlineStr">
        <is>
          <t>D (gc)</t>
        </is>
      </c>
      <c r="N8" s="6" t="n"/>
      <c r="P8" t="n">
        <v>42.176061</v>
      </c>
      <c r="Q8" t="n">
        <v>-3.4287201</v>
      </c>
    </row>
    <row r="9" ht="27" customHeight="1" s="9">
      <c r="A9" s="3" t="n">
        <v>7</v>
      </c>
      <c r="B9" s="7">
        <f>IFERROR(AVERAGE(F9,L9,I9),"")</f>
        <v/>
      </c>
      <c r="C9" s="8" t="n">
        <v>3</v>
      </c>
      <c r="D9" s="8" t="inlineStr">
        <is>
          <t>A</t>
        </is>
      </c>
      <c r="E9" s="5" t="inlineStr">
        <is>
          <t>A</t>
        </is>
      </c>
      <c r="F9" s="3" t="n">
        <v>0.411</v>
      </c>
      <c r="G9" s="4" t="inlineStr">
        <is>
          <t>N2a,N2b,Ha</t>
        </is>
      </c>
      <c r="H9" s="5" t="inlineStr">
        <is>
          <t>A</t>
        </is>
      </c>
      <c r="I9" s="3" t="n">
        <v>0.411</v>
      </c>
      <c r="J9" s="4" t="inlineStr">
        <is>
          <t>N2a,N2b,Ha</t>
        </is>
      </c>
      <c r="K9" s="5" t="inlineStr">
        <is>
          <t>A</t>
        </is>
      </c>
      <c r="L9" s="3" t="n">
        <v>0.4105</v>
      </c>
      <c r="M9" s="4" t="inlineStr">
        <is>
          <t>N2a,N2b,Ha</t>
        </is>
      </c>
      <c r="N9" s="6" t="n"/>
      <c r="P9" t="n">
        <v>42.182724</v>
      </c>
      <c r="Q9" t="n">
        <v>-3.4347805</v>
      </c>
      <c r="R9" t="n">
        <v>10.212</v>
      </c>
      <c r="S9" t="n">
        <v>0.028</v>
      </c>
    </row>
    <row r="10" ht="27" customHeight="1" s="9">
      <c r="A10" s="3" t="n">
        <v>8</v>
      </c>
      <c r="B10" s="7">
        <f>IFERROR(AVERAGE(F10,L10,I10),"")</f>
        <v/>
      </c>
      <c r="C10" s="8" t="n">
        <v>3</v>
      </c>
      <c r="D10" s="8" t="inlineStr">
        <is>
          <t>A</t>
        </is>
      </c>
      <c r="E10" s="5" t="inlineStr">
        <is>
          <t>A</t>
        </is>
      </c>
      <c r="F10" s="3" t="n">
        <v>0.4915</v>
      </c>
      <c r="G10" s="4" t="inlineStr">
        <is>
          <t>Hb,O3a,O3b</t>
        </is>
      </c>
      <c r="H10" s="5" t="inlineStr">
        <is>
          <t>A</t>
        </is>
      </c>
      <c r="I10" s="3" t="n">
        <v>0.492</v>
      </c>
      <c r="J10" s="4" t="inlineStr">
        <is>
          <t>Hb,O3a,O3b</t>
        </is>
      </c>
      <c r="K10" s="5" t="inlineStr">
        <is>
          <t>A</t>
        </is>
      </c>
      <c r="L10" s="3" t="n">
        <v>0.492</v>
      </c>
      <c r="M10" s="4" t="inlineStr">
        <is>
          <t>Hb,O3a,O3b</t>
        </is>
      </c>
      <c r="N10" s="6" t="n"/>
      <c r="O10" s="4" t="inlineStr">
        <is>
          <t>O3a</t>
        </is>
      </c>
      <c r="P10" t="n">
        <v>42.21353</v>
      </c>
      <c r="Q10" t="n">
        <v>-3.4520444</v>
      </c>
      <c r="R10" t="n">
        <v>9.986000000000001</v>
      </c>
      <c r="S10" t="n">
        <v>0.042</v>
      </c>
    </row>
    <row r="11" ht="27" customHeight="1" s="9">
      <c r="A11" s="3" t="n">
        <v>9</v>
      </c>
      <c r="B11" s="7">
        <f>IFERROR(AVERAGE(F11,L11,I11),"")</f>
        <v/>
      </c>
      <c r="C11" s="8" t="n"/>
      <c r="D11" s="8" t="inlineStr">
        <is>
          <t>E</t>
        </is>
      </c>
      <c r="E11" s="5" t="inlineStr">
        <is>
          <t>E (fc)</t>
        </is>
      </c>
      <c r="H11" s="5" t="inlineStr">
        <is>
          <t>E (fc)</t>
        </is>
      </c>
      <c r="I11" s="3" t="n"/>
      <c r="K11" s="5" t="inlineStr">
        <is>
          <t>E (fc)</t>
        </is>
      </c>
      <c r="N11" s="6" t="n"/>
      <c r="P11" t="n">
        <v>42.177915</v>
      </c>
      <c r="Q11" t="n">
        <v>-3.4385782</v>
      </c>
    </row>
    <row r="12" ht="27" customHeight="1" s="9">
      <c r="A12" s="3" t="n">
        <v>10</v>
      </c>
      <c r="B12" s="7">
        <f>IFERROR(AVERAGE(F12,L12,I12),"")</f>
        <v/>
      </c>
      <c r="C12" s="8" t="n">
        <v>3</v>
      </c>
      <c r="D12" s="8" t="inlineStr">
        <is>
          <t>A</t>
        </is>
      </c>
      <c r="E12" s="5" t="inlineStr">
        <is>
          <t>B (sky)</t>
        </is>
      </c>
      <c r="F12" s="3" t="n">
        <v>0.6685</v>
      </c>
      <c r="G12" s="4" t="inlineStr">
        <is>
          <t>Hb,O3a,O3b</t>
        </is>
      </c>
      <c r="H12" s="5" t="inlineStr">
        <is>
          <t>A</t>
        </is>
      </c>
      <c r="I12" s="3" t="n">
        <v>0.669</v>
      </c>
      <c r="J12" s="4" t="inlineStr">
        <is>
          <t>Hb,O3a,O3b</t>
        </is>
      </c>
      <c r="K12" s="5" t="inlineStr">
        <is>
          <t>A</t>
        </is>
      </c>
      <c r="L12" s="3" t="n">
        <v>0.67</v>
      </c>
      <c r="M12" s="4" t="inlineStr">
        <is>
          <t>Hb,O3a,O3b</t>
        </is>
      </c>
      <c r="N12" s="6" t="n"/>
      <c r="O12" s="4" t="inlineStr">
        <is>
          <t>O3a</t>
        </is>
      </c>
      <c r="P12" t="n">
        <v>42.216148</v>
      </c>
      <c r="Q12" t="n">
        <v>-3.461236</v>
      </c>
      <c r="R12" t="n">
        <v>9.515000000000001</v>
      </c>
      <c r="S12" t="n">
        <v>0.066</v>
      </c>
    </row>
    <row r="13" ht="27" customHeight="1" s="9">
      <c r="A13" s="3" t="n">
        <v>11</v>
      </c>
      <c r="B13" s="7">
        <f>IFERROR(AVERAGE(F13,L13,I13),"")</f>
        <v/>
      </c>
      <c r="C13" s="8" t="n"/>
      <c r="D13" s="8" t="inlineStr">
        <is>
          <t>E</t>
        </is>
      </c>
      <c r="E13" s="5" t="inlineStr">
        <is>
          <t>E (fc)</t>
        </is>
      </c>
      <c r="H13" s="5" t="inlineStr">
        <is>
          <t>E (fc)</t>
        </is>
      </c>
      <c r="I13" s="3" t="n"/>
      <c r="K13" s="5" t="inlineStr">
        <is>
          <t>E (fc)</t>
        </is>
      </c>
      <c r="N13" s="6" t="n"/>
      <c r="P13" t="n">
        <v>42.215616</v>
      </c>
      <c r="Q13" t="n">
        <v>-3.4642511</v>
      </c>
    </row>
    <row r="14" ht="27" customHeight="1" s="9">
      <c r="A14" s="3" t="n">
        <v>12</v>
      </c>
      <c r="B14" s="7">
        <f>IFERROR(AVERAGE(F14,L14,I14),"")</f>
        <v/>
      </c>
      <c r="C14" s="8" t="n">
        <v>3</v>
      </c>
      <c r="D14" s="8" t="inlineStr">
        <is>
          <t>BS</t>
        </is>
      </c>
      <c r="E14" s="5" t="inlineStr">
        <is>
          <t>F (ns)</t>
        </is>
      </c>
      <c r="H14" s="5" t="inlineStr">
        <is>
          <t>B (sky)</t>
        </is>
      </c>
      <c r="I14" s="3" t="n">
        <v>0.479</v>
      </c>
      <c r="J14" s="4" t="inlineStr">
        <is>
          <t>Hb,O3a,O3b</t>
        </is>
      </c>
      <c r="K14" s="5" t="inlineStr">
        <is>
          <t>F (ns)</t>
        </is>
      </c>
      <c r="N14" s="6" t="n"/>
      <c r="O14" s="4" t="inlineStr">
        <is>
          <t>Hb,O3a,O3b</t>
        </is>
      </c>
      <c r="P14" t="n">
        <v>42.170616</v>
      </c>
      <c r="Q14" t="n">
        <v>-3.4479308</v>
      </c>
    </row>
    <row r="15" ht="27" customHeight="1" s="9">
      <c r="A15" s="3" t="n">
        <v>13</v>
      </c>
      <c r="B15" s="7">
        <f>IFERROR(AVERAGE(F15,L15,I15),"")</f>
        <v/>
      </c>
      <c r="C15" s="8" t="n">
        <v>3</v>
      </c>
      <c r="D15" s="8" t="inlineStr">
        <is>
          <t>BS</t>
        </is>
      </c>
      <c r="E15" s="5" t="inlineStr">
        <is>
          <t>E (fc)</t>
        </is>
      </c>
      <c r="H15" s="5" t="inlineStr">
        <is>
          <t>B (sky)</t>
        </is>
      </c>
      <c r="I15" s="3" t="n">
        <v>0.846</v>
      </c>
      <c r="J15" s="4" t="inlineStr">
        <is>
          <t>O3a,O3b</t>
        </is>
      </c>
      <c r="K15" s="5" t="inlineStr">
        <is>
          <t>D (gc)</t>
        </is>
      </c>
      <c r="N15" s="6" t="inlineStr">
        <is>
          <t>More than one target in this slit, other z=0.2955 (N II, H alpha, S II; 3)</t>
        </is>
      </c>
      <c r="O15" s="4" t="inlineStr">
        <is>
          <t>O3a</t>
        </is>
      </c>
      <c r="P15" t="n">
        <v>42.139709</v>
      </c>
      <c r="Q15" t="n">
        <v>-3.4376063</v>
      </c>
      <c r="R15" t="n">
        <v>9.521000000000001</v>
      </c>
      <c r="S15" t="n">
        <v>0.073</v>
      </c>
    </row>
    <row r="16" ht="27" customHeight="1" s="9">
      <c r="A16" s="3" t="n">
        <v>14</v>
      </c>
      <c r="B16" s="7">
        <f>IFERROR(AVERAGE(F16,L16,I16),"")</f>
        <v/>
      </c>
      <c r="C16" s="8" t="n">
        <v>3</v>
      </c>
      <c r="D16" s="8" t="inlineStr">
        <is>
          <t>B</t>
        </is>
      </c>
      <c r="E16" s="5" t="inlineStr">
        <is>
          <t>B (sky)</t>
        </is>
      </c>
      <c r="F16" s="3" t="n">
        <v>0.584</v>
      </c>
      <c r="G16" s="4" t="inlineStr">
        <is>
          <t>O3b</t>
        </is>
      </c>
      <c r="H16" s="5" t="inlineStr">
        <is>
          <t>B (sky)</t>
        </is>
      </c>
      <c r="I16" s="3" t="n">
        <v>0.583</v>
      </c>
      <c r="J16" s="4" t="inlineStr">
        <is>
          <t>Hb,O3a,O3b</t>
        </is>
      </c>
      <c r="K16" s="5" t="inlineStr">
        <is>
          <t>B (sky)</t>
        </is>
      </c>
      <c r="L16" s="3" t="n">
        <v>0.584</v>
      </c>
      <c r="M16" s="4" t="inlineStr">
        <is>
          <t>Hb,O3b</t>
        </is>
      </c>
      <c r="N16" s="6" t="n"/>
      <c r="O16" s="4" t="inlineStr">
        <is>
          <t>O3a</t>
        </is>
      </c>
      <c r="P16" t="n">
        <v>42.17938</v>
      </c>
      <c r="Q16" t="n">
        <v>-3.4590941</v>
      </c>
      <c r="R16" t="n">
        <v>9.323</v>
      </c>
      <c r="S16" t="n">
        <v>0.091</v>
      </c>
    </row>
    <row r="17" ht="27" customHeight="1" s="9">
      <c r="A17" s="3" t="n">
        <v>15</v>
      </c>
      <c r="B17" s="7">
        <f>IFERROR(AVERAGE(F17,L17,I17),"")</f>
        <v/>
      </c>
      <c r="C17" s="8" t="n">
        <v>2</v>
      </c>
      <c r="D17" s="8" t="inlineStr">
        <is>
          <t>B</t>
        </is>
      </c>
      <c r="E17" s="5" t="inlineStr">
        <is>
          <t>B (sky)</t>
        </is>
      </c>
      <c r="F17" s="3" t="n">
        <v>1.401</v>
      </c>
      <c r="G17" s="4" t="inlineStr">
        <is>
          <t>O2</t>
        </is>
      </c>
      <c r="H17" s="5" t="inlineStr">
        <is>
          <t>B (sky)</t>
        </is>
      </c>
      <c r="I17" s="3" t="n">
        <v>1.399</v>
      </c>
      <c r="J17" s="4" t="inlineStr">
        <is>
          <t>O2</t>
        </is>
      </c>
      <c r="K17" s="5" t="inlineStr">
        <is>
          <t>B (sky)</t>
        </is>
      </c>
      <c r="L17" s="3" t="n">
        <v>1.4</v>
      </c>
      <c r="M17" s="4" t="inlineStr">
        <is>
          <t>O2</t>
        </is>
      </c>
      <c r="N17" s="6" t="inlineStr">
        <is>
          <t>Very extended line, 8 Angstrom</t>
        </is>
      </c>
      <c r="P17" t="n">
        <v>42.177477</v>
      </c>
      <c r="Q17" t="n">
        <v>-3.461241</v>
      </c>
      <c r="R17" t="n">
        <v>9.577999999999999</v>
      </c>
      <c r="S17" t="n">
        <v>0.12</v>
      </c>
    </row>
    <row r="18" ht="27" customHeight="1" s="9">
      <c r="A18" s="3" t="n">
        <v>16</v>
      </c>
      <c r="B18" s="7">
        <f>IFERROR(AVERAGE(F18,L18,I18),"")</f>
        <v/>
      </c>
      <c r="C18" s="8" t="n">
        <v>3</v>
      </c>
      <c r="D18" s="8" t="inlineStr">
        <is>
          <t>B</t>
        </is>
      </c>
      <c r="E18" s="5" t="inlineStr">
        <is>
          <t>B (sky)</t>
        </is>
      </c>
      <c r="F18" s="3" t="n">
        <v>0.6820000000000001</v>
      </c>
      <c r="G18" s="4" t="inlineStr">
        <is>
          <t>O3b</t>
        </is>
      </c>
      <c r="H18" s="5" t="inlineStr">
        <is>
          <t>B (sky)</t>
        </is>
      </c>
      <c r="I18" s="3" t="n">
        <v>0.6820000000000001</v>
      </c>
      <c r="J18" s="4" t="inlineStr">
        <is>
          <t>Hb,O3b</t>
        </is>
      </c>
      <c r="K18" s="5" t="inlineStr">
        <is>
          <t>B (sky)</t>
        </is>
      </c>
      <c r="L18" s="3" t="n">
        <v>0.6820000000000001</v>
      </c>
      <c r="M18" s="4" t="inlineStr">
        <is>
          <t>O3b</t>
        </is>
      </c>
      <c r="N18" s="6" t="n"/>
      <c r="O18" s="4" t="inlineStr">
        <is>
          <t>Hb</t>
        </is>
      </c>
      <c r="P18" t="n">
        <v>42.139733</v>
      </c>
      <c r="Q18" t="n">
        <v>-3.4466916</v>
      </c>
      <c r="R18" t="n">
        <v>9.586</v>
      </c>
      <c r="S18" t="n">
        <v>0.046</v>
      </c>
    </row>
    <row r="19" ht="27" customHeight="1" s="9">
      <c r="A19" s="3" t="n">
        <v>17</v>
      </c>
      <c r="B19" s="7">
        <f>IFERROR(AVERAGE(F19,L19,I19),"")</f>
        <v/>
      </c>
      <c r="C19" s="8" t="n">
        <v>3</v>
      </c>
      <c r="D19" s="8" t="inlineStr">
        <is>
          <t>AS</t>
        </is>
      </c>
      <c r="E19" s="5" t="inlineStr">
        <is>
          <t>F (ns)</t>
        </is>
      </c>
      <c r="H19" s="5" t="inlineStr">
        <is>
          <t>F (ns)</t>
        </is>
      </c>
      <c r="I19" s="3" t="n"/>
      <c r="K19" s="5" t="inlineStr">
        <is>
          <t>A</t>
        </is>
      </c>
      <c r="L19" s="3" t="n">
        <v>0.612</v>
      </c>
      <c r="M19" s="4" t="inlineStr">
        <is>
          <t>Hb,O3a,O3b</t>
        </is>
      </c>
      <c r="N19" s="6" t="n"/>
      <c r="O19" s="4" t="inlineStr">
        <is>
          <t>O3a,Hb</t>
        </is>
      </c>
      <c r="P19" t="n">
        <v>42.172676</v>
      </c>
      <c r="Q19" t="n">
        <v>-3.4662291</v>
      </c>
      <c r="R19" t="n">
        <v>9.566000000000001</v>
      </c>
      <c r="S19" t="n">
        <v>0.09</v>
      </c>
    </row>
    <row r="20" ht="27" customHeight="1" s="9">
      <c r="A20" s="3" t="n">
        <v>18</v>
      </c>
      <c r="B20" s="7">
        <f>IFERROR(AVERAGE(F20,L20,I20),"")</f>
        <v/>
      </c>
      <c r="C20" s="8" t="n">
        <v>3</v>
      </c>
      <c r="D20" s="8" t="inlineStr">
        <is>
          <t>A</t>
        </is>
      </c>
      <c r="E20" s="5" t="inlineStr">
        <is>
          <t>F (ns)</t>
        </is>
      </c>
      <c r="H20" s="5" t="inlineStr">
        <is>
          <t>A</t>
        </is>
      </c>
      <c r="I20" s="3" t="n">
        <v>0.847</v>
      </c>
      <c r="J20" s="4" t="inlineStr">
        <is>
          <t>Hb,O3b</t>
        </is>
      </c>
      <c r="K20" s="5" t="inlineStr">
        <is>
          <t>A</t>
        </is>
      </c>
      <c r="L20" s="3" t="n">
        <v>0.847</v>
      </c>
      <c r="M20" s="4" t="inlineStr">
        <is>
          <t>O3b</t>
        </is>
      </c>
      <c r="N20" s="6" t="n"/>
      <c r="P20" t="n">
        <v>42.128581</v>
      </c>
      <c r="Q20" t="n">
        <v>-3.4493951</v>
      </c>
      <c r="R20" t="n">
        <v>10.016</v>
      </c>
      <c r="S20" t="n">
        <v>0.051</v>
      </c>
    </row>
    <row r="21" ht="27" customHeight="1" s="9">
      <c r="A21" s="3" t="n">
        <v>19</v>
      </c>
      <c r="B21" s="7">
        <f>IFERROR(AVERAGE(F21,L21,I21),"")</f>
        <v/>
      </c>
      <c r="C21" s="8" t="n">
        <v>3</v>
      </c>
      <c r="D21" s="8" t="inlineStr">
        <is>
          <t>A</t>
        </is>
      </c>
      <c r="E21" s="5" t="inlineStr">
        <is>
          <t>A</t>
        </is>
      </c>
      <c r="F21" s="3" t="n">
        <v>0.633</v>
      </c>
      <c r="G21" s="4" t="inlineStr">
        <is>
          <t>O3b</t>
        </is>
      </c>
      <c r="H21" s="5" t="inlineStr">
        <is>
          <t>A</t>
        </is>
      </c>
      <c r="I21" s="3" t="n">
        <v>0.633</v>
      </c>
      <c r="J21" s="4" t="inlineStr">
        <is>
          <t>Hb,O3b</t>
        </is>
      </c>
      <c r="K21" s="5" t="inlineStr">
        <is>
          <t>E (fc)</t>
        </is>
      </c>
      <c r="N21" s="6" t="n"/>
      <c r="O21" s="4" t="inlineStr">
        <is>
          <t>Hb</t>
        </is>
      </c>
      <c r="P21" t="n">
        <v>42.132376</v>
      </c>
      <c r="Q21" t="n">
        <v>-3.4546561</v>
      </c>
      <c r="R21" t="n">
        <v>9.305999999999999</v>
      </c>
      <c r="S21" t="n">
        <v>0.063</v>
      </c>
    </row>
    <row r="22" ht="27" customHeight="1" s="9">
      <c r="A22" s="3" t="n">
        <v>20</v>
      </c>
      <c r="B22" s="7">
        <f>IFERROR(AVERAGE(F22,L22,I22),"")</f>
        <v/>
      </c>
      <c r="C22" s="8" t="n">
        <v>3</v>
      </c>
      <c r="D22" s="8" t="inlineStr">
        <is>
          <t>A</t>
        </is>
      </c>
      <c r="E22" s="5" t="inlineStr">
        <is>
          <t>F (ns)</t>
        </is>
      </c>
      <c r="H22" s="5" t="inlineStr">
        <is>
          <t>A</t>
        </is>
      </c>
      <c r="I22" s="3" t="n">
        <v>0.474</v>
      </c>
      <c r="J22" s="4" t="inlineStr">
        <is>
          <t>Hb,O3b</t>
        </is>
      </c>
      <c r="K22" s="5" t="inlineStr">
        <is>
          <t>A</t>
        </is>
      </c>
      <c r="L22" s="3" t="n">
        <v>0.474</v>
      </c>
      <c r="M22" s="4" t="inlineStr">
        <is>
          <t>O3b</t>
        </is>
      </c>
      <c r="N22" s="6" t="n"/>
      <c r="P22" t="n">
        <v>42.195257</v>
      </c>
      <c r="Q22" t="n">
        <v>-3.4888567</v>
      </c>
      <c r="R22" t="n">
        <v>8.656000000000001</v>
      </c>
      <c r="S22" t="n">
        <v>0.056</v>
      </c>
    </row>
    <row r="23" ht="27" customHeight="1" s="9">
      <c r="A23" s="3" t="n">
        <v>21</v>
      </c>
      <c r="B23" s="7">
        <f>IFERROR(AVERAGE(F23,L23,I23),"")</f>
        <v/>
      </c>
      <c r="C23" s="8" t="n">
        <v>3</v>
      </c>
      <c r="D23" s="8" t="inlineStr">
        <is>
          <t>A</t>
        </is>
      </c>
      <c r="E23" s="5" t="inlineStr">
        <is>
          <t>A</t>
        </is>
      </c>
      <c r="F23" s="3" t="n">
        <v>0.903</v>
      </c>
      <c r="G23" s="4" t="inlineStr">
        <is>
          <t>O2</t>
        </is>
      </c>
      <c r="H23" s="5" t="inlineStr">
        <is>
          <t>A</t>
        </is>
      </c>
      <c r="I23" s="3" t="n">
        <v>0.902</v>
      </c>
      <c r="J23" s="4" t="inlineStr">
        <is>
          <t>O2,Hb</t>
        </is>
      </c>
      <c r="K23" s="5" t="inlineStr">
        <is>
          <t>A</t>
        </is>
      </c>
      <c r="L23" s="3" t="n">
        <v>0.902</v>
      </c>
      <c r="M23" s="4" t="inlineStr">
        <is>
          <t>O2</t>
        </is>
      </c>
      <c r="N23" s="6" t="n"/>
      <c r="P23" t="n">
        <v>42.194816</v>
      </c>
      <c r="Q23" t="n">
        <v>-3.4955871</v>
      </c>
      <c r="R23" t="n">
        <v>9.382999999999999</v>
      </c>
      <c r="S23" t="n">
        <v>0.055</v>
      </c>
    </row>
    <row r="24" ht="27" customHeight="1" s="9">
      <c r="A24" s="3" t="n">
        <v>22</v>
      </c>
      <c r="B24" s="7">
        <f>IFERROR(AVERAGE(F24,L24,I24),"")</f>
        <v/>
      </c>
      <c r="C24" s="8" t="n"/>
      <c r="D24" s="8" t="inlineStr">
        <is>
          <t>F</t>
        </is>
      </c>
      <c r="E24" s="5" t="inlineStr">
        <is>
          <t>F (ns)</t>
        </is>
      </c>
      <c r="H24" s="5" t="inlineStr">
        <is>
          <t>F (ns)</t>
        </is>
      </c>
      <c r="I24" s="3" t="n"/>
      <c r="K24" s="5" t="inlineStr">
        <is>
          <t>F (ns)</t>
        </is>
      </c>
      <c r="N24" s="6" t="n"/>
      <c r="P24" t="n">
        <v>42.197776</v>
      </c>
      <c r="Q24" t="n">
        <v>-3.5000877</v>
      </c>
    </row>
    <row r="25" ht="27" customHeight="1" s="9">
      <c r="A25" s="3" t="n">
        <v>23</v>
      </c>
      <c r="B25" s="7">
        <f>IFERROR(AVERAGE(F25,L25,I25),"")</f>
        <v/>
      </c>
      <c r="C25" s="8" t="n">
        <v>3</v>
      </c>
      <c r="D25" s="8" t="inlineStr">
        <is>
          <t>A</t>
        </is>
      </c>
      <c r="E25" s="5" t="inlineStr">
        <is>
          <t>A</t>
        </is>
      </c>
      <c r="F25" s="3" t="n">
        <v>0.5655</v>
      </c>
      <c r="G25" s="4" t="inlineStr">
        <is>
          <t>O3b</t>
        </is>
      </c>
      <c r="H25" s="5" t="inlineStr">
        <is>
          <t>A</t>
        </is>
      </c>
      <c r="I25" s="3" t="n">
        <v>0.5659999999999999</v>
      </c>
      <c r="J25" s="4" t="inlineStr">
        <is>
          <t>O3a,O3b</t>
        </is>
      </c>
      <c r="K25" s="5" t="inlineStr">
        <is>
          <t>A</t>
        </is>
      </c>
      <c r="L25" s="3" t="n">
        <v>0.5649999999999999</v>
      </c>
      <c r="M25" s="4" t="inlineStr">
        <is>
          <t>O3b</t>
        </is>
      </c>
      <c r="N25" s="6" t="n"/>
      <c r="P25" t="n">
        <v>42.130406</v>
      </c>
      <c r="Q25" t="n">
        <v>-3.4720578</v>
      </c>
      <c r="R25" t="n">
        <v>9.590999999999999</v>
      </c>
      <c r="S25" t="n">
        <v>0.083</v>
      </c>
    </row>
    <row r="26" ht="27" customHeight="1" s="9">
      <c r="A26" s="3" t="n">
        <v>24</v>
      </c>
      <c r="B26" s="7">
        <f>IFERROR(AVERAGE(F26,L26,I26),"")</f>
        <v/>
      </c>
      <c r="C26" s="8" t="n">
        <v>3</v>
      </c>
      <c r="D26" s="8" t="inlineStr">
        <is>
          <t>A</t>
        </is>
      </c>
      <c r="E26" s="5" t="inlineStr">
        <is>
          <t>A</t>
        </is>
      </c>
      <c r="F26" s="3" t="n">
        <v>0.849</v>
      </c>
      <c r="G26" s="4" t="inlineStr">
        <is>
          <t>O3b</t>
        </is>
      </c>
      <c r="H26" s="5" t="inlineStr">
        <is>
          <t>A</t>
        </is>
      </c>
      <c r="I26" s="3" t="n">
        <v>0.848</v>
      </c>
      <c r="J26" s="4" t="inlineStr">
        <is>
          <t>Hg,Hb,O3a,O3b</t>
        </is>
      </c>
      <c r="K26" s="5" t="inlineStr">
        <is>
          <t>A</t>
        </is>
      </c>
      <c r="L26" s="3" t="n">
        <v>0.848</v>
      </c>
      <c r="M26" s="4" t="inlineStr">
        <is>
          <t>Hb,O3a,O3b</t>
        </is>
      </c>
      <c r="N26" s="6" t="n"/>
      <c r="O26" s="4" t="inlineStr">
        <is>
          <t>Hb,Hg</t>
        </is>
      </c>
      <c r="P26" t="n">
        <v>42.137042</v>
      </c>
      <c r="Q26" t="n">
        <v>-3.4785358</v>
      </c>
      <c r="R26" t="n">
        <v>9.696</v>
      </c>
      <c r="S26" t="n">
        <v>0.082</v>
      </c>
    </row>
    <row r="27" ht="27" customHeight="1" s="9">
      <c r="A27" s="3" t="n">
        <v>25</v>
      </c>
      <c r="B27" s="7">
        <f>IFERROR(AVERAGE(F27,L27,I27),"")</f>
        <v/>
      </c>
      <c r="C27" s="8" t="n">
        <v>3</v>
      </c>
      <c r="D27" s="8" t="inlineStr">
        <is>
          <t>A</t>
        </is>
      </c>
      <c r="E27" s="5" t="inlineStr">
        <is>
          <t>F (ns)</t>
        </is>
      </c>
      <c r="H27" s="5" t="inlineStr">
        <is>
          <t>A</t>
        </is>
      </c>
      <c r="I27" s="3" t="n">
        <v>0.633</v>
      </c>
      <c r="J27" s="4" t="inlineStr">
        <is>
          <t>Hb,O3b</t>
        </is>
      </c>
      <c r="K27" s="5" t="inlineStr">
        <is>
          <t>A</t>
        </is>
      </c>
      <c r="L27" s="3" t="n">
        <v>0.633</v>
      </c>
      <c r="M27" s="4" t="inlineStr">
        <is>
          <t>Hb,O3b</t>
        </is>
      </c>
      <c r="N27" s="6" t="n"/>
      <c r="P27" t="n">
        <v>42.112585</v>
      </c>
      <c r="Q27" t="n">
        <v>-3.4700597</v>
      </c>
      <c r="R27" t="n">
        <v>9.390000000000001</v>
      </c>
      <c r="S27" t="n">
        <v>0.062</v>
      </c>
    </row>
    <row r="28" ht="27" customHeight="1" s="9">
      <c r="A28" s="3" t="n">
        <v>26</v>
      </c>
      <c r="B28" s="7">
        <f>IFERROR(AVERAGE(F28,L28,I28),"")</f>
        <v/>
      </c>
      <c r="C28" s="8" t="n">
        <v>3</v>
      </c>
      <c r="D28" s="8" t="inlineStr">
        <is>
          <t>A</t>
        </is>
      </c>
      <c r="E28" s="5" t="inlineStr">
        <is>
          <t>E (fc)</t>
        </is>
      </c>
      <c r="H28" s="5" t="inlineStr">
        <is>
          <t>A</t>
        </is>
      </c>
      <c r="I28" s="3" t="n">
        <v>0.675</v>
      </c>
      <c r="J28" s="4" t="inlineStr">
        <is>
          <t>Hb</t>
        </is>
      </c>
      <c r="K28" s="5" t="inlineStr">
        <is>
          <t>B (sky)</t>
        </is>
      </c>
      <c r="L28" s="3" t="n">
        <v>0.674</v>
      </c>
      <c r="M28" s="4" t="inlineStr">
        <is>
          <t>Hb,O3b</t>
        </is>
      </c>
      <c r="N28" s="6" t="inlineStr">
        <is>
          <t>Single line, not likely [O II]</t>
        </is>
      </c>
      <c r="O28" s="4" t="inlineStr">
        <is>
          <t>O3a</t>
        </is>
      </c>
      <c r="P28" t="n">
        <v>42.208147</v>
      </c>
      <c r="Q28" t="n">
        <v>-3.5172006</v>
      </c>
      <c r="R28" t="n">
        <v>9.970000000000001</v>
      </c>
      <c r="S28" t="n">
        <v>0.05</v>
      </c>
    </row>
    <row r="29" ht="27" customHeight="1" s="9">
      <c r="A29" s="3" t="n">
        <v>27</v>
      </c>
      <c r="B29" s="7">
        <f>IFERROR(AVERAGE(F29,L29,I29),"")</f>
        <v/>
      </c>
      <c r="C29" s="8" t="n">
        <v>3</v>
      </c>
      <c r="D29" s="8" t="inlineStr">
        <is>
          <t>AS</t>
        </is>
      </c>
      <c r="E29" s="5" t="inlineStr">
        <is>
          <t>E (fc)</t>
        </is>
      </c>
      <c r="H29" s="5" t="inlineStr">
        <is>
          <t>E (fc)</t>
        </is>
      </c>
      <c r="I29" s="3" t="n"/>
      <c r="K29" s="5" t="inlineStr">
        <is>
          <t>A</t>
        </is>
      </c>
      <c r="L29" s="3" t="n">
        <v>0.63</v>
      </c>
      <c r="M29" s="4" t="inlineStr">
        <is>
          <t>Hb,O3b</t>
        </is>
      </c>
      <c r="N29" s="6" t="n"/>
      <c r="P29" t="n">
        <v>42.118436</v>
      </c>
      <c r="Q29" t="n">
        <v>-3.478245</v>
      </c>
      <c r="R29" t="n">
        <v>9.923999999999999</v>
      </c>
      <c r="S29" t="n">
        <v>0.022</v>
      </c>
    </row>
    <row r="30" ht="27" customHeight="1" s="9">
      <c r="A30" s="3" t="n">
        <v>28</v>
      </c>
      <c r="B30" s="7">
        <f>IFERROR(AVERAGE(F30,L30,I30),"")</f>
        <v/>
      </c>
      <c r="C30" s="8" t="n">
        <v>3</v>
      </c>
      <c r="D30" s="8" t="inlineStr">
        <is>
          <t>B</t>
        </is>
      </c>
      <c r="E30" s="5" t="inlineStr">
        <is>
          <t>F (ns)</t>
        </is>
      </c>
      <c r="H30" s="5" t="inlineStr">
        <is>
          <t>B (sky)</t>
        </is>
      </c>
      <c r="I30" s="3" t="n">
        <v>0.57</v>
      </c>
      <c r="J30" s="4" t="inlineStr">
        <is>
          <t>O3a,O3b</t>
        </is>
      </c>
      <c r="K30" s="5" t="inlineStr">
        <is>
          <t>B (sky)</t>
        </is>
      </c>
      <c r="L30" s="3" t="n">
        <v>0.57</v>
      </c>
      <c r="M30" s="4" t="inlineStr">
        <is>
          <t>O3b</t>
        </is>
      </c>
      <c r="N30" s="6" t="n"/>
      <c r="O30" s="4" t="inlineStr">
        <is>
          <t>O3a</t>
        </is>
      </c>
      <c r="P30" t="n">
        <v>42.198081</v>
      </c>
      <c r="Q30" t="n">
        <v>-3.5185422</v>
      </c>
      <c r="R30" t="n">
        <v>9.048999999999999</v>
      </c>
      <c r="S30" t="n">
        <v>0.117</v>
      </c>
    </row>
    <row r="31" ht="27" customHeight="1" s="9">
      <c r="A31" s="3" t="n">
        <v>29</v>
      </c>
      <c r="B31" s="7">
        <f>IFERROR(AVERAGE(F31,L31,I31),"")</f>
        <v/>
      </c>
      <c r="C31" s="8" t="n">
        <v>3</v>
      </c>
      <c r="D31" s="8" t="inlineStr">
        <is>
          <t>A</t>
        </is>
      </c>
      <c r="E31" s="5" t="inlineStr">
        <is>
          <t>A</t>
        </is>
      </c>
      <c r="F31" s="3" t="n">
        <v>0.5649999999999999</v>
      </c>
      <c r="G31" s="4" t="inlineStr">
        <is>
          <t>O3b</t>
        </is>
      </c>
      <c r="H31" s="5" t="inlineStr">
        <is>
          <t>A</t>
        </is>
      </c>
      <c r="I31" s="3" t="n">
        <v>0.5639999999999999</v>
      </c>
      <c r="J31" s="4" t="inlineStr">
        <is>
          <t>O3a,O3b</t>
        </is>
      </c>
      <c r="K31" s="5" t="inlineStr">
        <is>
          <t>B (sky)</t>
        </is>
      </c>
      <c r="L31" s="3" t="n">
        <v>0.5635</v>
      </c>
      <c r="M31" s="4" t="inlineStr">
        <is>
          <t>O3a,O3b</t>
        </is>
      </c>
      <c r="N31" s="6" t="n"/>
      <c r="O31" s="4" t="inlineStr">
        <is>
          <t>O3a</t>
        </is>
      </c>
      <c r="P31" t="n">
        <v>42.140826</v>
      </c>
      <c r="Q31" t="n">
        <v>-3.4967561</v>
      </c>
      <c r="R31" t="n">
        <v>9.977</v>
      </c>
      <c r="S31" t="n">
        <v>0.014</v>
      </c>
    </row>
    <row r="32" ht="27" customHeight="1" s="9">
      <c r="A32" s="3" t="n">
        <v>30</v>
      </c>
      <c r="B32" s="7">
        <f>IFERROR(AVERAGE(F32,L32,I32),"")</f>
        <v/>
      </c>
      <c r="C32" s="8" t="n">
        <v>3</v>
      </c>
      <c r="D32" s="8" t="inlineStr">
        <is>
          <t>A</t>
        </is>
      </c>
      <c r="E32" s="5" t="inlineStr">
        <is>
          <t>A</t>
        </is>
      </c>
      <c r="F32" s="3" t="n">
        <v>0.628</v>
      </c>
      <c r="G32" s="4" t="inlineStr">
        <is>
          <t>O3b</t>
        </is>
      </c>
      <c r="H32" s="5" t="inlineStr">
        <is>
          <t>A</t>
        </is>
      </c>
      <c r="I32" s="3" t="n">
        <v>0.628</v>
      </c>
      <c r="J32" s="4" t="inlineStr">
        <is>
          <t>Hb,O3a,O3b</t>
        </is>
      </c>
      <c r="K32" s="5" t="inlineStr">
        <is>
          <t>A</t>
        </is>
      </c>
      <c r="L32" s="3" t="n">
        <v>0.628</v>
      </c>
      <c r="M32" s="4" t="inlineStr">
        <is>
          <t>Hb,O3a,O3b</t>
        </is>
      </c>
      <c r="N32" s="6" t="n"/>
      <c r="O32" s="4" t="inlineStr">
        <is>
          <t>Hb</t>
        </is>
      </c>
      <c r="P32" t="n">
        <v>42.122515</v>
      </c>
      <c r="Q32" t="n">
        <v>-3.4913543</v>
      </c>
      <c r="R32" t="n">
        <v>9.576000000000001</v>
      </c>
      <c r="S32" t="n">
        <v>0.111</v>
      </c>
    </row>
    <row r="33" ht="27" customHeight="1" s="9">
      <c r="A33" s="3" t="n">
        <v>31</v>
      </c>
      <c r="B33" s="7">
        <f>IFERROR(AVERAGE(F33,L33,I33),"")</f>
        <v/>
      </c>
      <c r="C33" s="8" t="n"/>
      <c r="D33" s="8" t="inlineStr">
        <is>
          <t>C</t>
        </is>
      </c>
      <c r="E33" s="5" t="inlineStr">
        <is>
          <t>C (cs)</t>
        </is>
      </c>
      <c r="H33" s="5" t="inlineStr">
        <is>
          <t>C (cs)</t>
        </is>
      </c>
      <c r="I33" s="3" t="n"/>
      <c r="K33" s="5" t="inlineStr">
        <is>
          <t>C (cs)</t>
        </is>
      </c>
      <c r="N33" s="6" t="n"/>
      <c r="P33" t="n">
        <v>42.093127</v>
      </c>
      <c r="Q33" t="n">
        <v>-3.4805345</v>
      </c>
    </row>
    <row r="34" ht="27" customHeight="1" s="9">
      <c r="A34" s="3" t="n">
        <v>32</v>
      </c>
      <c r="B34" s="7">
        <f>IFERROR(AVERAGE(F34,L34,I34),"")</f>
        <v/>
      </c>
      <c r="C34" s="8" t="n">
        <v>2</v>
      </c>
      <c r="D34" s="8" t="inlineStr">
        <is>
          <t>B</t>
        </is>
      </c>
      <c r="E34" s="5" t="inlineStr">
        <is>
          <t>F (ns)</t>
        </is>
      </c>
      <c r="H34" s="5" t="inlineStr">
        <is>
          <t>B (sky)</t>
        </is>
      </c>
      <c r="I34" s="3" t="n">
        <v>1.1</v>
      </c>
      <c r="J34" s="4" t="inlineStr">
        <is>
          <t>O2</t>
        </is>
      </c>
      <c r="K34" s="5" t="inlineStr">
        <is>
          <t>B (sky)</t>
        </is>
      </c>
      <c r="L34" s="3" t="n">
        <v>1.0995</v>
      </c>
      <c r="M34" s="4" t="inlineStr">
        <is>
          <t>O2</t>
        </is>
      </c>
      <c r="N34" s="6" t="n"/>
      <c r="P34" t="n">
        <v>42.134115</v>
      </c>
      <c r="Q34" t="n">
        <v>-3.5044585</v>
      </c>
      <c r="R34" t="n">
        <v>9.628</v>
      </c>
      <c r="S34" t="n">
        <v>0.167</v>
      </c>
    </row>
    <row r="35" ht="27" customHeight="1" s="9">
      <c r="A35" s="3" t="n">
        <v>33</v>
      </c>
      <c r="B35" s="7">
        <f>IFERROR(AVERAGE(F35,L35,I35),"")</f>
        <v/>
      </c>
      <c r="C35" s="8" t="n">
        <v>3</v>
      </c>
      <c r="D35" s="8" t="inlineStr">
        <is>
          <t>B</t>
        </is>
      </c>
      <c r="E35" s="5" t="inlineStr">
        <is>
          <t>F (ns)</t>
        </is>
      </c>
      <c r="H35" s="5" t="inlineStr">
        <is>
          <t>B (sky)</t>
        </is>
      </c>
      <c r="I35" s="3" t="n">
        <v>0.6840000000000001</v>
      </c>
      <c r="J35" s="4" t="inlineStr">
        <is>
          <t>Hb,O3b</t>
        </is>
      </c>
      <c r="K35" s="5" t="inlineStr">
        <is>
          <t>B (sky)</t>
        </is>
      </c>
      <c r="L35" s="3" t="n">
        <v>0.6840000000000001</v>
      </c>
      <c r="M35" s="4" t="inlineStr">
        <is>
          <t>Hb,O3b</t>
        </is>
      </c>
      <c r="N35" s="6" t="n"/>
      <c r="O35" s="4" t="inlineStr">
        <is>
          <t>O3b</t>
        </is>
      </c>
      <c r="P35" t="n">
        <v>42.16135</v>
      </c>
      <c r="Q35" t="n">
        <v>-3.52079</v>
      </c>
      <c r="R35" t="n">
        <v>9.888</v>
      </c>
      <c r="S35" t="n">
        <v>0.061</v>
      </c>
    </row>
    <row r="36" ht="27" customHeight="1" s="9">
      <c r="A36" s="3" t="n">
        <v>34</v>
      </c>
      <c r="B36" s="7">
        <f>IFERROR(AVERAGE(F36,L36,I36),"")</f>
        <v/>
      </c>
      <c r="C36" s="8" t="n">
        <v>3</v>
      </c>
      <c r="D36" s="8" t="inlineStr">
        <is>
          <t>A</t>
        </is>
      </c>
      <c r="E36" s="5" t="inlineStr">
        <is>
          <t>B (sky)</t>
        </is>
      </c>
      <c r="F36" s="3" t="n">
        <v>0.657</v>
      </c>
      <c r="G36" s="4" t="inlineStr">
        <is>
          <t>O3b</t>
        </is>
      </c>
      <c r="H36" s="5" t="inlineStr">
        <is>
          <t>A</t>
        </is>
      </c>
      <c r="I36" s="3" t="n">
        <v>0.657</v>
      </c>
      <c r="J36" s="4" t="inlineStr">
        <is>
          <t>Hb,O3a,O3b</t>
        </is>
      </c>
      <c r="K36" s="5" t="inlineStr">
        <is>
          <t>A</t>
        </is>
      </c>
      <c r="L36" s="3" t="n">
        <v>0.6565</v>
      </c>
      <c r="M36" s="4" t="inlineStr">
        <is>
          <t>Hb,O3a,O3b</t>
        </is>
      </c>
      <c r="N36" s="6" t="n"/>
      <c r="P36" t="n">
        <v>42.107535</v>
      </c>
      <c r="Q36" t="n">
        <v>-3.4995786</v>
      </c>
    </row>
    <row r="37" ht="27" customHeight="1" s="9">
      <c r="A37" s="3" t="n">
        <v>35</v>
      </c>
      <c r="B37" s="7">
        <f>IFERROR(AVERAGE(F37,L37,I37),"")</f>
        <v/>
      </c>
      <c r="C37" s="8" t="n">
        <v>3</v>
      </c>
      <c r="D37" s="8" t="inlineStr">
        <is>
          <t>B</t>
        </is>
      </c>
      <c r="E37" s="5" t="inlineStr">
        <is>
          <t>A</t>
        </is>
      </c>
      <c r="F37" s="3" t="n">
        <v>0.655</v>
      </c>
      <c r="G37" s="4" t="inlineStr">
        <is>
          <t>Hb,O3b</t>
        </is>
      </c>
      <c r="H37" s="5" t="inlineStr">
        <is>
          <t>B (sky)</t>
        </is>
      </c>
      <c r="I37" s="3" t="n">
        <v>0.657</v>
      </c>
      <c r="J37" s="4" t="inlineStr">
        <is>
          <t>Hb,O3b</t>
        </is>
      </c>
      <c r="K37" s="5" t="inlineStr">
        <is>
          <t>B (sky)</t>
        </is>
      </c>
      <c r="L37" s="3" t="n">
        <v>0.6575</v>
      </c>
      <c r="M37" s="4" t="inlineStr">
        <is>
          <t>Hb</t>
        </is>
      </c>
      <c r="N37" s="6" t="inlineStr">
        <is>
          <t>More than one target in this slit, other z=0.991 ([O II]; 2.5)</t>
        </is>
      </c>
      <c r="O37" s="4" t="inlineStr">
        <is>
          <t>O3b</t>
        </is>
      </c>
      <c r="P37" t="n">
        <v>42.106013</v>
      </c>
      <c r="Q37" t="n">
        <v>-3.5026083</v>
      </c>
      <c r="R37" t="n">
        <v>9.936</v>
      </c>
      <c r="S37" t="n">
        <v>0.005</v>
      </c>
    </row>
    <row r="38" ht="27" customHeight="1" s="9">
      <c r="A38" s="3" t="n">
        <v>36</v>
      </c>
      <c r="B38" s="7">
        <f>IFERROR(AVERAGE(F38,L38,I38),"")</f>
        <v/>
      </c>
      <c r="C38" s="8" t="n">
        <v>3</v>
      </c>
      <c r="D38" s="8" t="inlineStr">
        <is>
          <t>AS</t>
        </is>
      </c>
      <c r="E38" s="5" t="inlineStr">
        <is>
          <t>E (fc)</t>
        </is>
      </c>
      <c r="H38" s="5" t="inlineStr">
        <is>
          <t>A</t>
        </is>
      </c>
      <c r="I38" s="3" t="n">
        <v>0.528</v>
      </c>
      <c r="J38" s="4" t="inlineStr">
        <is>
          <t>Hb,O3b</t>
        </is>
      </c>
      <c r="K38" s="5" t="inlineStr">
        <is>
          <t>E (fc)</t>
        </is>
      </c>
      <c r="N38" s="6" t="n"/>
      <c r="P38" t="n">
        <v>42.143129</v>
      </c>
      <c r="Q38" t="n">
        <v>-3.5236084</v>
      </c>
      <c r="R38" t="n">
        <v>9.564</v>
      </c>
      <c r="S38" t="n">
        <v>0.057</v>
      </c>
    </row>
    <row r="39" ht="27" customHeight="1" s="9">
      <c r="A39" s="3" t="n">
        <v>37</v>
      </c>
      <c r="B39" s="7">
        <f>IFERROR(AVERAGE(F39,L39,I39),"")</f>
        <v/>
      </c>
      <c r="C39" s="8" t="n"/>
      <c r="D39" s="8" t="inlineStr">
        <is>
          <t>E</t>
        </is>
      </c>
      <c r="E39" s="5" t="inlineStr">
        <is>
          <t>E (fc)</t>
        </is>
      </c>
      <c r="H39" s="5" t="inlineStr">
        <is>
          <t>E (fc)</t>
        </is>
      </c>
      <c r="I39" s="3" t="n"/>
      <c r="K39" s="5" t="inlineStr">
        <is>
          <t>E (fc)</t>
        </is>
      </c>
      <c r="N39" s="6" t="n"/>
      <c r="P39" t="n">
        <v>42.118264</v>
      </c>
      <c r="Q39" t="n">
        <v>-3.5148115</v>
      </c>
    </row>
    <row r="40" ht="27" customHeight="1" s="9">
      <c r="A40" s="3" t="n">
        <v>38</v>
      </c>
      <c r="B40" s="7">
        <f>IFERROR(AVERAGE(F40,L40,I40),"")</f>
        <v/>
      </c>
      <c r="C40" s="8" t="n"/>
      <c r="D40" s="8" t="inlineStr">
        <is>
          <t>E</t>
        </is>
      </c>
      <c r="E40" s="5" t="inlineStr">
        <is>
          <t>E (fc)</t>
        </is>
      </c>
      <c r="H40" s="5" t="inlineStr">
        <is>
          <t>E (fc)</t>
        </is>
      </c>
      <c r="I40" s="3" t="n"/>
      <c r="K40" s="5" t="inlineStr">
        <is>
          <t>E (fc)</t>
        </is>
      </c>
      <c r="N40" s="6" t="n"/>
      <c r="P40" t="n">
        <v>42.116043</v>
      </c>
      <c r="Q40" t="n">
        <v>-3.5170309</v>
      </c>
    </row>
    <row r="41" ht="27" customHeight="1" s="9">
      <c r="A41" s="3" t="n">
        <v>39</v>
      </c>
      <c r="B41" s="7">
        <f>IFERROR(AVERAGE(F41,L41,I41),"")</f>
        <v/>
      </c>
      <c r="C41" s="8" t="n">
        <v>3</v>
      </c>
      <c r="D41" s="8" t="inlineStr">
        <is>
          <t>A</t>
        </is>
      </c>
      <c r="E41" s="5" t="inlineStr">
        <is>
          <t>B (sky)</t>
        </is>
      </c>
      <c r="F41" s="3" t="n">
        <v>0.5659999999999999</v>
      </c>
      <c r="G41" s="4" t="inlineStr">
        <is>
          <t>O3b</t>
        </is>
      </c>
      <c r="H41" s="5" t="inlineStr">
        <is>
          <t>A</t>
        </is>
      </c>
      <c r="I41" s="3" t="n">
        <v>0.5669999999999999</v>
      </c>
      <c r="J41" s="4" t="inlineStr">
        <is>
          <t>Hb,O3a,O3b</t>
        </is>
      </c>
      <c r="K41" s="5" t="inlineStr">
        <is>
          <t>A</t>
        </is>
      </c>
      <c r="L41" s="3" t="n">
        <v>0.5665</v>
      </c>
      <c r="M41" s="4" t="inlineStr">
        <is>
          <t>Hb,O3b</t>
        </is>
      </c>
      <c r="N41" s="6" t="n"/>
      <c r="O41" s="4" t="inlineStr">
        <is>
          <t>Hb,O3a</t>
        </is>
      </c>
      <c r="P41" t="n">
        <v>42.090057</v>
      </c>
      <c r="Q41" t="n">
        <v>-3.5078301</v>
      </c>
      <c r="R41" t="n">
        <v>9.307</v>
      </c>
      <c r="S41" t="n">
        <v>0.099</v>
      </c>
    </row>
    <row r="42" ht="27" customHeight="1" s="9">
      <c r="A42" s="3" t="n">
        <v>40</v>
      </c>
      <c r="B42" s="7">
        <f>IFERROR(AVERAGE(F42,L42,I42),"")</f>
        <v/>
      </c>
      <c r="C42" s="8" t="n">
        <v>3</v>
      </c>
      <c r="D42" s="8" t="inlineStr">
        <is>
          <t>A</t>
        </is>
      </c>
      <c r="E42" s="5" t="inlineStr">
        <is>
          <t>A</t>
        </is>
      </c>
      <c r="F42" s="3" t="n">
        <v>0.615</v>
      </c>
      <c r="G42" s="4" t="inlineStr">
        <is>
          <t>O3b</t>
        </is>
      </c>
      <c r="H42" s="5" t="inlineStr">
        <is>
          <t>B (sky)</t>
        </is>
      </c>
      <c r="I42" s="3" t="n">
        <v>0.614</v>
      </c>
      <c r="J42" s="4" t="inlineStr">
        <is>
          <t>Hb,O3a,O3b</t>
        </is>
      </c>
      <c r="K42" s="5" t="inlineStr">
        <is>
          <t>A</t>
        </is>
      </c>
      <c r="L42" s="3" t="n">
        <v>0.6145</v>
      </c>
      <c r="M42" s="4" t="inlineStr">
        <is>
          <t>Hb,O3a,O3b</t>
        </is>
      </c>
      <c r="N42" s="6" t="n"/>
      <c r="O42" s="4" t="inlineStr">
        <is>
          <t>O3a</t>
        </is>
      </c>
      <c r="P42" t="n">
        <v>42.12342</v>
      </c>
      <c r="Q42" t="n">
        <v>-3.5274752</v>
      </c>
      <c r="R42" t="n">
        <v>9.526</v>
      </c>
      <c r="S42" t="n">
        <v>0.129</v>
      </c>
    </row>
    <row r="43" ht="27" customHeight="1" s="9">
      <c r="A43" s="3" t="n">
        <v>41</v>
      </c>
      <c r="B43" s="7">
        <f>IFERROR(AVERAGE(F43,L43,I43),"")</f>
        <v/>
      </c>
      <c r="C43" s="8" t="n"/>
      <c r="D43" s="8" t="inlineStr">
        <is>
          <t>E</t>
        </is>
      </c>
      <c r="E43" s="5" t="inlineStr">
        <is>
          <t>E (fc)</t>
        </is>
      </c>
      <c r="H43" s="5" t="inlineStr">
        <is>
          <t>E (fc)</t>
        </is>
      </c>
      <c r="I43" s="3" t="n"/>
      <c r="K43" s="5" t="inlineStr">
        <is>
          <t>E (fc)</t>
        </is>
      </c>
      <c r="N43" s="6" t="n"/>
      <c r="P43" t="n">
        <v>42.14458</v>
      </c>
      <c r="Q43" t="n">
        <v>-3.541098</v>
      </c>
    </row>
    <row r="44" ht="27" customHeight="1" s="9">
      <c r="A44" s="3" t="n">
        <v>42</v>
      </c>
      <c r="B44" s="7">
        <f>IFERROR(AVERAGE(F44,L44,I44),"")</f>
        <v/>
      </c>
      <c r="C44" s="8" t="n">
        <v>3</v>
      </c>
      <c r="D44" s="8" t="inlineStr">
        <is>
          <t>B</t>
        </is>
      </c>
      <c r="E44" s="5" t="inlineStr">
        <is>
          <t>F (ns)</t>
        </is>
      </c>
      <c r="H44" s="5" t="inlineStr">
        <is>
          <t>B (sky)</t>
        </is>
      </c>
      <c r="I44" s="3" t="n">
        <v>0.61</v>
      </c>
      <c r="J44" s="4" t="inlineStr">
        <is>
          <t>Hb,O3a,O3b</t>
        </is>
      </c>
      <c r="K44" s="5" t="inlineStr">
        <is>
          <t>B (sky)</t>
        </is>
      </c>
      <c r="L44" s="3" t="n">
        <v>0.61</v>
      </c>
      <c r="M44" s="4" t="inlineStr">
        <is>
          <t>Hb,O3b</t>
        </is>
      </c>
      <c r="N44" s="6" t="n"/>
      <c r="O44" s="4" t="inlineStr">
        <is>
          <t>O3a</t>
        </is>
      </c>
      <c r="P44" t="n">
        <v>42.105343</v>
      </c>
      <c r="Q44" t="n">
        <v>-3.5256263</v>
      </c>
      <c r="R44" t="n">
        <v>9.052</v>
      </c>
      <c r="S44" t="n">
        <v>0.098</v>
      </c>
    </row>
    <row r="45" ht="27" customHeight="1" s="9">
      <c r="A45" s="3" t="n">
        <v>43</v>
      </c>
      <c r="B45" s="7">
        <f>IFERROR(AVERAGE(F45,L45,I45),"")</f>
        <v/>
      </c>
      <c r="C45" s="8" t="n">
        <v>3</v>
      </c>
      <c r="D45" s="8" t="inlineStr">
        <is>
          <t>A</t>
        </is>
      </c>
      <c r="E45" s="5" t="inlineStr">
        <is>
          <t>F (ns)</t>
        </is>
      </c>
      <c r="H45" s="5" t="inlineStr">
        <is>
          <t>A</t>
        </is>
      </c>
      <c r="I45" s="3" t="n">
        <v>0.5600000000000001</v>
      </c>
      <c r="J45" s="4" t="inlineStr">
        <is>
          <t>Hb,O3b</t>
        </is>
      </c>
      <c r="K45" s="5" t="inlineStr">
        <is>
          <t>A</t>
        </is>
      </c>
      <c r="L45" s="3" t="n">
        <v>0.5605</v>
      </c>
      <c r="M45" s="4" t="inlineStr">
        <is>
          <t>Hb,O3b</t>
        </is>
      </c>
      <c r="N45" s="6" t="n"/>
      <c r="P45" t="n">
        <v>42.159774</v>
      </c>
      <c r="Q45" t="n">
        <v>-3.5557321</v>
      </c>
      <c r="R45" t="n">
        <v>9.112</v>
      </c>
      <c r="S45" t="n">
        <v>0.09</v>
      </c>
    </row>
    <row r="46" ht="27" customHeight="1" s="9">
      <c r="A46" s="3" t="n">
        <v>44</v>
      </c>
      <c r="B46" s="7">
        <f>IFERROR(AVERAGE(F46,L46,I46),"")</f>
        <v/>
      </c>
      <c r="C46" s="8" t="n"/>
      <c r="D46" s="8" t="inlineStr">
        <is>
          <t>E</t>
        </is>
      </c>
      <c r="E46" s="5" t="inlineStr">
        <is>
          <t>E (fc)</t>
        </is>
      </c>
      <c r="H46" s="5" t="inlineStr">
        <is>
          <t>E (fc)</t>
        </is>
      </c>
      <c r="I46" s="3" t="n"/>
      <c r="K46" s="5" t="inlineStr">
        <is>
          <t>E (fc)</t>
        </is>
      </c>
      <c r="N46" s="6" t="n"/>
      <c r="P46" t="n">
        <v>42.145119</v>
      </c>
      <c r="Q46" t="n">
        <v>-3.5520877</v>
      </c>
    </row>
    <row r="47" ht="27" customHeight="1" s="9">
      <c r="A47" s="3" t="n">
        <v>45</v>
      </c>
      <c r="B47" s="7">
        <f>IFERROR(AVERAGE(F47,L47,I47),"")</f>
        <v/>
      </c>
      <c r="C47" s="8" t="n">
        <v>3</v>
      </c>
      <c r="D47" s="8" t="inlineStr">
        <is>
          <t>A</t>
        </is>
      </c>
      <c r="E47" s="5" t="inlineStr">
        <is>
          <t>A</t>
        </is>
      </c>
      <c r="F47" s="3" t="n">
        <v>0.607</v>
      </c>
      <c r="G47" s="4" t="inlineStr">
        <is>
          <t>Hb,O3b</t>
        </is>
      </c>
      <c r="H47" s="5" t="inlineStr">
        <is>
          <t>A</t>
        </is>
      </c>
      <c r="I47" s="3" t="n">
        <v>0.606</v>
      </c>
      <c r="J47" s="4" t="inlineStr">
        <is>
          <t>Hb,O3b</t>
        </is>
      </c>
      <c r="K47" s="5" t="inlineStr">
        <is>
          <t>A</t>
        </is>
      </c>
      <c r="L47" s="3" t="n">
        <v>0.606</v>
      </c>
      <c r="M47" s="4" t="inlineStr">
        <is>
          <t>Hb,O3b</t>
        </is>
      </c>
      <c r="N47" s="6" t="n"/>
      <c r="P47" t="n">
        <v>42.120297</v>
      </c>
      <c r="Q47" t="n">
        <v>-3.543515</v>
      </c>
      <c r="R47" t="n">
        <v>9.680999999999999</v>
      </c>
      <c r="S47" t="n">
        <v>0.074</v>
      </c>
    </row>
    <row r="48" ht="27" customHeight="1" s="9">
      <c r="A48" s="3" t="n">
        <v>46</v>
      </c>
      <c r="B48" s="7">
        <f>IFERROR(AVERAGE(F48,L48,I48),"")</f>
        <v/>
      </c>
      <c r="C48" s="8" t="n"/>
      <c r="D48" s="8" t="inlineStr">
        <is>
          <t>E</t>
        </is>
      </c>
      <c r="E48" s="5" t="inlineStr">
        <is>
          <t>E (fc)</t>
        </is>
      </c>
      <c r="H48" s="5" t="inlineStr">
        <is>
          <t>E (fc)</t>
        </is>
      </c>
      <c r="I48" s="3" t="n"/>
      <c r="K48" s="5" t="inlineStr">
        <is>
          <t>E (fc)</t>
        </is>
      </c>
      <c r="N48" s="6" t="n"/>
      <c r="P48" t="n">
        <v>42.124217</v>
      </c>
      <c r="Q48" t="n">
        <v>-3.5485937</v>
      </c>
    </row>
    <row r="49" ht="27" customHeight="1" s="9">
      <c r="A49" s="3" t="n">
        <v>47</v>
      </c>
      <c r="B49" s="7">
        <f>IFERROR(AVERAGE(F49,L49,I49),"")</f>
        <v/>
      </c>
      <c r="C49" s="8" t="n">
        <v>3</v>
      </c>
      <c r="D49" s="8" t="inlineStr">
        <is>
          <t>A</t>
        </is>
      </c>
      <c r="E49" s="5" t="inlineStr">
        <is>
          <t>B (sky)</t>
        </is>
      </c>
      <c r="F49" s="3" t="n">
        <v>0.7845</v>
      </c>
      <c r="G49" s="4" t="inlineStr">
        <is>
          <t>O3b</t>
        </is>
      </c>
      <c r="H49" s="5" t="inlineStr">
        <is>
          <t>B (sky)</t>
        </is>
      </c>
      <c r="I49" s="3" t="n">
        <v>0.784</v>
      </c>
      <c r="J49" s="4" t="inlineStr">
        <is>
          <t>O3b</t>
        </is>
      </c>
      <c r="K49" s="5" t="inlineStr">
        <is>
          <t>A</t>
        </is>
      </c>
      <c r="L49" s="3" t="n">
        <v>0.7835</v>
      </c>
      <c r="M49" s="4" t="inlineStr">
        <is>
          <t>Hb,O3b</t>
        </is>
      </c>
      <c r="N49" s="6" t="n"/>
      <c r="P49" t="n">
        <v>42.104541</v>
      </c>
      <c r="Q49" t="n">
        <v>-3.5423152</v>
      </c>
      <c r="R49" t="n">
        <v>9.951000000000001</v>
      </c>
      <c r="S49" t="n">
        <v>0.059</v>
      </c>
    </row>
    <row r="50" ht="27" customHeight="1" s="9">
      <c r="A50" s="3" t="n">
        <v>48</v>
      </c>
      <c r="B50" s="7">
        <f>IFERROR(AVERAGE(F50,L50,I50),"")</f>
        <v/>
      </c>
      <c r="C50" s="8" t="n">
        <v>3</v>
      </c>
      <c r="D50" s="8" t="inlineStr">
        <is>
          <t>A</t>
        </is>
      </c>
      <c r="E50" s="5" t="inlineStr">
        <is>
          <t>F (ns)</t>
        </is>
      </c>
      <c r="H50" s="5" t="inlineStr">
        <is>
          <t>A</t>
        </is>
      </c>
      <c r="I50" s="3" t="n">
        <v>0.784</v>
      </c>
      <c r="J50" s="4" t="inlineStr">
        <is>
          <t>Hb,O3b</t>
        </is>
      </c>
      <c r="K50" s="5" t="inlineStr">
        <is>
          <t>A</t>
        </is>
      </c>
      <c r="L50" s="3" t="n">
        <v>0.7845</v>
      </c>
      <c r="M50" s="4" t="inlineStr">
        <is>
          <t>O3b</t>
        </is>
      </c>
      <c r="N50" s="6" t="n"/>
      <c r="O50" s="4" t="inlineStr">
        <is>
          <t>Hb</t>
        </is>
      </c>
      <c r="P50" t="n">
        <v>42.123729</v>
      </c>
      <c r="Q50" t="n">
        <v>-3.5544001</v>
      </c>
      <c r="R50" t="n">
        <v>9.574999999999999</v>
      </c>
      <c r="S50" t="n">
        <v>0.101</v>
      </c>
    </row>
    <row r="51" ht="27" customHeight="1" s="9">
      <c r="A51" s="3" t="n">
        <v>49</v>
      </c>
      <c r="B51" s="7">
        <f>IFERROR(AVERAGE(F51,L51,I51),"")</f>
        <v/>
      </c>
      <c r="C51" s="8" t="n">
        <v>3</v>
      </c>
      <c r="D51" s="8" t="inlineStr">
        <is>
          <t>B</t>
        </is>
      </c>
      <c r="E51" s="5" t="inlineStr">
        <is>
          <t>F (ns)</t>
        </is>
      </c>
      <c r="H51" s="5" t="inlineStr">
        <is>
          <t>B (sky)</t>
        </is>
      </c>
      <c r="I51" s="3" t="n">
        <v>0.666</v>
      </c>
      <c r="J51" s="4" t="inlineStr">
        <is>
          <t>Hb,O3b</t>
        </is>
      </c>
      <c r="K51" s="5" t="inlineStr">
        <is>
          <t>B (sky)</t>
        </is>
      </c>
      <c r="L51" s="3" t="n">
        <v>0.666</v>
      </c>
      <c r="M51" s="4" t="inlineStr">
        <is>
          <t>Hb,O3b</t>
        </is>
      </c>
      <c r="N51" s="6" t="n"/>
      <c r="O51" s="4" t="inlineStr">
        <is>
          <t>O3b</t>
        </is>
      </c>
      <c r="P51" t="n">
        <v>42.185382</v>
      </c>
      <c r="Q51" t="n">
        <v>-3.5879475</v>
      </c>
      <c r="R51" t="n">
        <v>9.49</v>
      </c>
      <c r="S51" t="n">
        <v>0.048</v>
      </c>
    </row>
    <row r="52" ht="27" customHeight="1" s="9">
      <c r="A52" s="3" t="n">
        <v>50</v>
      </c>
      <c r="B52" s="7">
        <f>IFERROR(AVERAGE(F52,L52,I52),"")</f>
        <v/>
      </c>
      <c r="C52" s="8" t="n">
        <v>3</v>
      </c>
      <c r="D52" s="8" t="inlineStr">
        <is>
          <t>A</t>
        </is>
      </c>
      <c r="E52" s="5" t="inlineStr">
        <is>
          <t>B (sky)</t>
        </is>
      </c>
      <c r="F52" s="3" t="n">
        <v>0.845</v>
      </c>
      <c r="G52" s="4" t="inlineStr">
        <is>
          <t>Hb</t>
        </is>
      </c>
      <c r="H52" s="5" t="inlineStr">
        <is>
          <t>A</t>
        </is>
      </c>
      <c r="I52" s="3" t="n">
        <v>0.845</v>
      </c>
      <c r="J52" s="4" t="inlineStr">
        <is>
          <t>O2,Hb</t>
        </is>
      </c>
      <c r="K52" s="5" t="inlineStr">
        <is>
          <t>A</t>
        </is>
      </c>
      <c r="L52" s="3" t="n">
        <v>0.845</v>
      </c>
      <c r="M52" s="4" t="inlineStr">
        <is>
          <t>O2,Hb</t>
        </is>
      </c>
      <c r="N52" s="6" t="n"/>
      <c r="P52" t="n">
        <v>42.16486</v>
      </c>
      <c r="Q52" t="n">
        <v>-3.5812126</v>
      </c>
      <c r="R52" t="n">
        <v>10.304</v>
      </c>
      <c r="S52" t="n">
        <v>0.062</v>
      </c>
    </row>
    <row r="53" ht="27" customHeight="1" s="9">
      <c r="A53" s="3" t="n">
        <v>51</v>
      </c>
      <c r="B53" s="7">
        <f>IFERROR(AVERAGE(F53,L53,I53),"")</f>
        <v/>
      </c>
      <c r="C53" s="8" t="n"/>
      <c r="D53" s="8" t="inlineStr">
        <is>
          <t>D</t>
        </is>
      </c>
      <c r="E53" s="5" t="inlineStr">
        <is>
          <t>D (gc)</t>
        </is>
      </c>
      <c r="H53" s="5" t="inlineStr">
        <is>
          <t>D (gc)</t>
        </is>
      </c>
      <c r="I53" s="3" t="n"/>
      <c r="K53" s="5" t="inlineStr">
        <is>
          <t>D (gc)</t>
        </is>
      </c>
      <c r="N53" s="6" t="n"/>
      <c r="P53" t="n">
        <v>42.125544</v>
      </c>
      <c r="Q53" t="n">
        <v>-3.5677933</v>
      </c>
    </row>
    <row r="54" ht="27" customHeight="1" s="9">
      <c r="A54" s="3" t="n">
        <v>52</v>
      </c>
      <c r="B54" s="7">
        <f>IFERROR(AVERAGE(F54,L54,I54),"")</f>
        <v/>
      </c>
      <c r="C54" s="8" t="n">
        <v>3</v>
      </c>
      <c r="D54" s="8" t="inlineStr">
        <is>
          <t>A</t>
        </is>
      </c>
      <c r="E54" s="5" t="inlineStr">
        <is>
          <t>F (ns)</t>
        </is>
      </c>
      <c r="H54" s="5" t="inlineStr">
        <is>
          <t>A</t>
        </is>
      </c>
      <c r="I54" s="3" t="n">
        <v>0.618</v>
      </c>
      <c r="J54" s="4" t="inlineStr">
        <is>
          <t>Hb,O3b</t>
        </is>
      </c>
      <c r="K54" s="5" t="inlineStr">
        <is>
          <t>A</t>
        </is>
      </c>
      <c r="L54" s="3" t="n">
        <v>0.618</v>
      </c>
      <c r="M54" s="4" t="inlineStr">
        <is>
          <t>Hb,O3b</t>
        </is>
      </c>
      <c r="N54" s="6" t="n"/>
      <c r="P54" t="n">
        <v>42.12093</v>
      </c>
      <c r="Q54" t="n">
        <v>-3.5685508</v>
      </c>
      <c r="R54" t="n">
        <v>9.439</v>
      </c>
      <c r="S54" t="n">
        <v>0.061</v>
      </c>
    </row>
    <row r="55" ht="27" customHeight="1" s="9">
      <c r="A55" s="3" t="n">
        <v>53</v>
      </c>
      <c r="B55" s="7">
        <f>IFERROR(AVERAGE(F55,L55,I55),"")</f>
        <v/>
      </c>
      <c r="C55" s="8" t="n"/>
      <c r="D55" s="8" t="inlineStr">
        <is>
          <t>C</t>
        </is>
      </c>
      <c r="E55" s="5" t="inlineStr">
        <is>
          <t>C (cs)</t>
        </is>
      </c>
      <c r="H55" s="5" t="inlineStr">
        <is>
          <t>C (cs)</t>
        </is>
      </c>
      <c r="I55" s="3" t="n"/>
      <c r="K55" s="5" t="inlineStr">
        <is>
          <t>C (cs)</t>
        </is>
      </c>
      <c r="N55" s="6" t="n"/>
      <c r="P55" t="n">
        <v>42.089489</v>
      </c>
      <c r="Q55" t="n">
        <v>-3.5571025</v>
      </c>
    </row>
    <row r="56" ht="27" customHeight="1" s="9">
      <c r="A56" s="3" t="n">
        <v>54</v>
      </c>
      <c r="B56" s="7">
        <f>IFERROR(AVERAGE(F56,L56,I56),"")</f>
        <v/>
      </c>
      <c r="C56" s="8" t="n">
        <v>3</v>
      </c>
      <c r="D56" s="8" t="inlineStr">
        <is>
          <t>A</t>
        </is>
      </c>
      <c r="E56" s="5" t="inlineStr">
        <is>
          <t>E (fc)</t>
        </is>
      </c>
      <c r="H56" s="5" t="inlineStr">
        <is>
          <t>A</t>
        </is>
      </c>
      <c r="I56" s="3" t="n">
        <v>0.514</v>
      </c>
      <c r="J56" s="4" t="inlineStr">
        <is>
          <t>Hb,O3b</t>
        </is>
      </c>
      <c r="K56" s="5" t="inlineStr">
        <is>
          <t>A</t>
        </is>
      </c>
      <c r="L56" s="3" t="n">
        <v>0.5145</v>
      </c>
      <c r="M56" s="4" t="inlineStr">
        <is>
          <t>Hb,O3a,O3b</t>
        </is>
      </c>
      <c r="N56" s="6" t="inlineStr">
        <is>
          <t>Two suspecious emission dots 320 Angstrom redwards of [O III]</t>
        </is>
      </c>
      <c r="P56" t="n">
        <v>42.133048</v>
      </c>
      <c r="Q56" t="n">
        <v>-3.5802354</v>
      </c>
      <c r="R56" t="n">
        <v>9.315</v>
      </c>
      <c r="S56" t="n">
        <v>0.08500000000000001</v>
      </c>
    </row>
    <row r="57" ht="27" customHeight="1" s="9">
      <c r="A57" s="3" t="n">
        <v>55</v>
      </c>
      <c r="B57" s="7">
        <f>IFERROR(AVERAGE(F57,L57,I57),"")</f>
        <v/>
      </c>
      <c r="C57" s="8" t="n">
        <v>3</v>
      </c>
      <c r="D57" s="8" t="inlineStr">
        <is>
          <t>AS</t>
        </is>
      </c>
      <c r="E57" s="5" t="inlineStr">
        <is>
          <t>E (fc)</t>
        </is>
      </c>
      <c r="H57" s="5" t="inlineStr">
        <is>
          <t>D (gc)</t>
        </is>
      </c>
      <c r="I57" s="3" t="n"/>
      <c r="K57" s="5" t="inlineStr">
        <is>
          <t>A</t>
        </is>
      </c>
      <c r="L57" s="3" t="n">
        <v>0.514</v>
      </c>
      <c r="M57" s="4" t="inlineStr">
        <is>
          <t>Hb,O3b</t>
        </is>
      </c>
      <c r="N57" s="6" t="inlineStr">
        <is>
          <t>More than one target in this slit, other z=0.2545 (N II, H alpha, S II; 3)</t>
        </is>
      </c>
      <c r="P57" t="n">
        <v>42.163426</v>
      </c>
      <c r="Q57" t="n">
        <v>-3.5991566</v>
      </c>
      <c r="R57" t="n">
        <v>9.494999999999999</v>
      </c>
      <c r="S57" t="n">
        <v>0.08799999999999999</v>
      </c>
    </row>
    <row r="58" ht="27" customHeight="1" s="9">
      <c r="A58" s="3" t="n">
        <v>56</v>
      </c>
      <c r="B58" s="7">
        <f>IFERROR(AVERAGE(F58,L58,I58),"")</f>
        <v/>
      </c>
      <c r="C58" s="8" t="n">
        <v>3</v>
      </c>
      <c r="D58" s="8" t="inlineStr">
        <is>
          <t>B</t>
        </is>
      </c>
      <c r="E58" s="5" t="inlineStr">
        <is>
          <t>F (ns)</t>
        </is>
      </c>
      <c r="H58" s="5" t="inlineStr">
        <is>
          <t>B (sky)</t>
        </is>
      </c>
      <c r="I58" s="3" t="n">
        <v>0.803</v>
      </c>
      <c r="J58" s="4" t="inlineStr">
        <is>
          <t>Hb,O3b</t>
        </is>
      </c>
      <c r="K58" s="5" t="inlineStr">
        <is>
          <t>B (sky)</t>
        </is>
      </c>
      <c r="L58" s="3" t="n">
        <v>0.8025</v>
      </c>
      <c r="M58" s="4" t="inlineStr">
        <is>
          <t>Hb,O3b</t>
        </is>
      </c>
      <c r="N58" s="6" t="n"/>
      <c r="O58" s="4" t="inlineStr">
        <is>
          <t>Hb</t>
        </is>
      </c>
      <c r="P58" t="n">
        <v>42.115665</v>
      </c>
      <c r="Q58" t="n">
        <v>-3.5808494</v>
      </c>
      <c r="R58" t="n">
        <v>10.13</v>
      </c>
      <c r="S58" t="n">
        <v>0.057</v>
      </c>
    </row>
    <row r="59" ht="27" customHeight="1" s="9">
      <c r="A59" s="3" t="n">
        <v>57</v>
      </c>
      <c r="B59" s="7">
        <f>IFERROR(AVERAGE(F59,L59,I59),"")</f>
        <v/>
      </c>
      <c r="C59" s="8" t="n">
        <v>3</v>
      </c>
      <c r="D59" s="8" t="inlineStr">
        <is>
          <t>B</t>
        </is>
      </c>
      <c r="E59" s="5" t="inlineStr">
        <is>
          <t>F (ns)</t>
        </is>
      </c>
      <c r="H59" s="5" t="inlineStr">
        <is>
          <t>B (sky)</t>
        </is>
      </c>
      <c r="I59" s="3" t="n">
        <v>0.781</v>
      </c>
      <c r="J59" s="4" t="inlineStr">
        <is>
          <t>Hb,O3b</t>
        </is>
      </c>
      <c r="K59" s="5" t="inlineStr">
        <is>
          <t>B (sky)</t>
        </is>
      </c>
      <c r="L59" s="3" t="n">
        <v>0.781</v>
      </c>
      <c r="M59" s="4" t="inlineStr">
        <is>
          <t>Hb,O3b</t>
        </is>
      </c>
      <c r="N59" s="6" t="n"/>
      <c r="O59" s="4" t="inlineStr">
        <is>
          <t>Hb</t>
        </is>
      </c>
      <c r="P59" t="n">
        <v>42.076121</v>
      </c>
      <c r="Q59" t="n">
        <v>-3.5661768</v>
      </c>
      <c r="R59" t="n">
        <v>9.981</v>
      </c>
      <c r="S59" t="n">
        <v>0.06900000000000001</v>
      </c>
    </row>
    <row r="60" ht="27" customHeight="1" s="9">
      <c r="A60" s="3" t="n">
        <v>58</v>
      </c>
      <c r="B60" s="7">
        <f>IFERROR(AVERAGE(F60,L60,I60),"")</f>
        <v/>
      </c>
      <c r="C60" s="8" t="n">
        <v>3</v>
      </c>
      <c r="D60" s="8" t="inlineStr">
        <is>
          <t>BS</t>
        </is>
      </c>
      <c r="E60" s="5" t="inlineStr">
        <is>
          <t>F (ns)</t>
        </is>
      </c>
      <c r="H60" s="5" t="inlineStr">
        <is>
          <t>F (ns)</t>
        </is>
      </c>
      <c r="I60" s="3" t="n"/>
      <c r="K60" s="5" t="inlineStr">
        <is>
          <t>B (sky)</t>
        </is>
      </c>
      <c r="L60" s="3" t="n">
        <v>0.659</v>
      </c>
      <c r="M60" s="4" t="inlineStr">
        <is>
          <t>Hb,O3b</t>
        </is>
      </c>
      <c r="N60" s="6" t="n"/>
      <c r="O60" s="4" t="inlineStr">
        <is>
          <t>Hb</t>
        </is>
      </c>
      <c r="P60" t="n">
        <v>42.112405</v>
      </c>
      <c r="Q60" t="n">
        <v>-3.5890243</v>
      </c>
      <c r="R60" t="n">
        <v>9.445</v>
      </c>
      <c r="S60" t="n">
        <v>0.031</v>
      </c>
      <c r="V60" t="n">
        <v>100000000</v>
      </c>
    </row>
    <row r="61" ht="27" customHeight="1" s="9">
      <c r="A61" s="3" t="n">
        <v>59</v>
      </c>
      <c r="B61" s="7">
        <f>IFERROR(AVERAGE(F61,L61,I61),"")</f>
        <v/>
      </c>
      <c r="C61" s="8" t="n">
        <v>3</v>
      </c>
      <c r="D61" s="8" t="inlineStr">
        <is>
          <t>A</t>
        </is>
      </c>
      <c r="E61" s="5" t="inlineStr">
        <is>
          <t>F (ns)</t>
        </is>
      </c>
      <c r="H61" s="5" t="inlineStr">
        <is>
          <t>A</t>
        </is>
      </c>
      <c r="I61" s="3" t="n">
        <v>0.82</v>
      </c>
      <c r="J61" s="4" t="inlineStr">
        <is>
          <t>Hg,Hb,O3a,O3b</t>
        </is>
      </c>
      <c r="K61" s="5" t="inlineStr">
        <is>
          <t>A</t>
        </is>
      </c>
      <c r="L61" s="3" t="n">
        <v>0.821</v>
      </c>
      <c r="M61" s="4" t="inlineStr">
        <is>
          <t>Hg,Hb,O3a,O3b</t>
        </is>
      </c>
      <c r="N61" s="6" t="n"/>
      <c r="O61" s="4" t="inlineStr">
        <is>
          <t>Hb</t>
        </is>
      </c>
      <c r="P61" t="n">
        <v>42.119855</v>
      </c>
      <c r="Q61" t="n">
        <v>-3.5956342</v>
      </c>
      <c r="R61" t="n">
        <v>9.492000000000001</v>
      </c>
      <c r="S61" t="n">
        <v>0.026</v>
      </c>
    </row>
    <row r="62" ht="27" customHeight="1" s="9">
      <c r="A62" s="3" t="n">
        <v>60</v>
      </c>
      <c r="B62" s="7">
        <f>IFERROR(AVERAGE(F62,L62,I62),"")</f>
        <v/>
      </c>
      <c r="C62" s="8" t="n">
        <v>3</v>
      </c>
      <c r="D62" s="8" t="inlineStr">
        <is>
          <t>A</t>
        </is>
      </c>
      <c r="E62" s="5" t="inlineStr">
        <is>
          <t>A</t>
        </is>
      </c>
      <c r="F62" s="3" t="n">
        <v>0.661</v>
      </c>
      <c r="G62" s="4" t="inlineStr">
        <is>
          <t>O3a</t>
        </is>
      </c>
      <c r="H62" s="5" t="inlineStr">
        <is>
          <t>A</t>
        </is>
      </c>
      <c r="I62" s="3" t="n">
        <v>0.66</v>
      </c>
      <c r="J62" s="4" t="inlineStr">
        <is>
          <t>Hb,O3a,O3b</t>
        </is>
      </c>
      <c r="K62" s="5" t="inlineStr">
        <is>
          <t>A</t>
        </is>
      </c>
      <c r="L62" s="3" t="n">
        <v>0.66</v>
      </c>
      <c r="M62" s="4" t="inlineStr">
        <is>
          <t>Hb,O3a,O3b</t>
        </is>
      </c>
      <c r="N62" s="6" t="n"/>
      <c r="P62" t="n">
        <v>42.110742</v>
      </c>
      <c r="Q62" t="n">
        <v>-3.59539</v>
      </c>
      <c r="R62" t="n">
        <v>9.625999999999999</v>
      </c>
      <c r="S62" t="n">
        <v>0.06</v>
      </c>
    </row>
    <row r="63" ht="27" customHeight="1" s="9">
      <c r="A63" s="3" t="n">
        <v>61</v>
      </c>
      <c r="B63" s="7">
        <f>IFERROR(AVERAGE(F63,L63,I63),"")</f>
        <v/>
      </c>
      <c r="C63" s="8" t="n">
        <v>3</v>
      </c>
      <c r="D63" s="8" t="inlineStr">
        <is>
          <t>BS</t>
        </is>
      </c>
      <c r="E63" s="5" t="inlineStr">
        <is>
          <t>E (fc)</t>
        </is>
      </c>
      <c r="H63" s="5" t="inlineStr">
        <is>
          <t>E (fc)</t>
        </is>
      </c>
      <c r="I63" s="3" t="n"/>
      <c r="K63" s="5" t="inlineStr">
        <is>
          <t>B (sky)</t>
        </is>
      </c>
      <c r="L63" s="3" t="n">
        <v>0.5145</v>
      </c>
      <c r="M63" s="4" t="inlineStr">
        <is>
          <t>Hb,O3b</t>
        </is>
      </c>
      <c r="N63" s="6" t="n"/>
      <c r="O63" s="4" t="inlineStr">
        <is>
          <t>Hb</t>
        </is>
      </c>
      <c r="P63" t="n">
        <v>42.108371</v>
      </c>
      <c r="Q63" t="n">
        <v>-3.5979536</v>
      </c>
      <c r="R63" t="n">
        <v>8.970000000000001</v>
      </c>
      <c r="S63" t="n">
        <v>0.109</v>
      </c>
    </row>
    <row r="64" ht="27" customHeight="1" s="9">
      <c r="A64" s="3" t="n">
        <v>62</v>
      </c>
      <c r="B64" s="7">
        <f>IFERROR(AVERAGE(F64,L64,I64),"")</f>
        <v/>
      </c>
      <c r="C64" s="8" t="n"/>
      <c r="D64" s="8" t="inlineStr">
        <is>
          <t>E</t>
        </is>
      </c>
      <c r="E64" s="5" t="inlineStr">
        <is>
          <t>E (fc)</t>
        </is>
      </c>
      <c r="H64" s="5" t="inlineStr">
        <is>
          <t>E (fc)</t>
        </is>
      </c>
      <c r="I64" s="3" t="n"/>
      <c r="K64" s="5" t="inlineStr">
        <is>
          <t>E (fc)</t>
        </is>
      </c>
      <c r="N64" s="6" t="n"/>
      <c r="P64" t="n">
        <v>42.112883</v>
      </c>
      <c r="Q64" t="n">
        <v>-3.6044437</v>
      </c>
    </row>
    <row r="65" ht="27" customHeight="1" s="9">
      <c r="A65" s="3" t="n">
        <v>63</v>
      </c>
      <c r="B65" s="7">
        <f>IFERROR(AVERAGE(F65,L65,I65),"")</f>
        <v/>
      </c>
      <c r="C65" s="8" t="n">
        <v>3</v>
      </c>
      <c r="D65" s="8" t="inlineStr">
        <is>
          <t>A</t>
        </is>
      </c>
      <c r="E65" s="5" t="inlineStr">
        <is>
          <t>F (ns)</t>
        </is>
      </c>
      <c r="H65" s="5" t="inlineStr">
        <is>
          <t>A</t>
        </is>
      </c>
      <c r="I65" s="3" t="n">
        <v>0.514</v>
      </c>
      <c r="J65" s="4" t="inlineStr">
        <is>
          <t>Hb,O3a</t>
        </is>
      </c>
      <c r="K65" s="5" t="inlineStr">
        <is>
          <t>A</t>
        </is>
      </c>
      <c r="L65" s="3" t="n">
        <v>0.514</v>
      </c>
      <c r="M65" s="4" t="inlineStr">
        <is>
          <t>Hb,O3a</t>
        </is>
      </c>
      <c r="N65" s="6" t="n"/>
      <c r="P65" t="n">
        <v>42.096227</v>
      </c>
      <c r="Q65" t="n">
        <v>-3.5994258</v>
      </c>
      <c r="R65" t="n">
        <v>9.186999999999999</v>
      </c>
      <c r="S65" t="n">
        <v>0.076</v>
      </c>
    </row>
    <row r="66" ht="27" customHeight="1" s="9">
      <c r="A66" s="3" t="n">
        <v>64</v>
      </c>
      <c r="B66" s="7">
        <f>IFERROR(AVERAGE(F66,L66,I66),"")</f>
        <v/>
      </c>
      <c r="C66" s="8" t="n">
        <v>3</v>
      </c>
      <c r="D66" s="8" t="inlineStr">
        <is>
          <t>B</t>
        </is>
      </c>
      <c r="E66" s="5" t="inlineStr">
        <is>
          <t>F (ns)</t>
        </is>
      </c>
      <c r="H66" s="5" t="inlineStr">
        <is>
          <t>B (sky)</t>
        </is>
      </c>
      <c r="I66" s="3" t="n">
        <v>0.804</v>
      </c>
      <c r="J66" s="4" t="inlineStr">
        <is>
          <t>O3a,O3b</t>
        </is>
      </c>
      <c r="K66" s="5" t="inlineStr">
        <is>
          <t>B (sky)</t>
        </is>
      </c>
      <c r="L66" s="3" t="n">
        <v>0.802</v>
      </c>
      <c r="M66" s="4" t="inlineStr">
        <is>
          <t>O3a,O3b</t>
        </is>
      </c>
      <c r="N66" s="6" t="n"/>
      <c r="P66" t="n">
        <v>42.099111</v>
      </c>
      <c r="Q66" t="n">
        <v>-3.6056084</v>
      </c>
      <c r="R66" t="n">
        <v>8.916</v>
      </c>
      <c r="S66" t="n">
        <v>0.129</v>
      </c>
    </row>
    <row r="67" ht="27" customHeight="1" s="9">
      <c r="A67" s="3" t="n">
        <v>65</v>
      </c>
      <c r="B67" s="7">
        <f>IFERROR(AVERAGE(F67,L67,I67),"")</f>
        <v/>
      </c>
      <c r="C67" s="8" t="n">
        <v>3</v>
      </c>
      <c r="D67" s="8" t="inlineStr">
        <is>
          <t>A</t>
        </is>
      </c>
      <c r="E67" s="5" t="inlineStr">
        <is>
          <t>F (ns)</t>
        </is>
      </c>
      <c r="H67" s="5" t="inlineStr">
        <is>
          <t>A</t>
        </is>
      </c>
      <c r="I67" s="3" t="n">
        <v>0.84</v>
      </c>
      <c r="J67" s="4" t="inlineStr">
        <is>
          <t>O2,Hb</t>
        </is>
      </c>
      <c r="K67" s="5" t="inlineStr">
        <is>
          <t>A</t>
        </is>
      </c>
      <c r="L67" s="3" t="n">
        <v>0.841</v>
      </c>
      <c r="M67" s="4" t="inlineStr">
        <is>
          <t>O2,Hb</t>
        </is>
      </c>
      <c r="N67" s="6" t="n"/>
      <c r="P67" t="n">
        <v>42.153058</v>
      </c>
      <c r="Q67" t="n">
        <v>-3.6332448</v>
      </c>
      <c r="R67" t="n">
        <v>9.568</v>
      </c>
      <c r="S67" t="n">
        <v>0.131</v>
      </c>
    </row>
    <row r="68" ht="27" customHeight="1" s="9">
      <c r="A68" s="3" t="n">
        <v>66</v>
      </c>
      <c r="B68" s="7">
        <f>IFERROR(AVERAGE(F68,L68,I68),"")</f>
        <v/>
      </c>
      <c r="C68" s="8" t="n"/>
      <c r="D68" s="8" t="inlineStr">
        <is>
          <t>C</t>
        </is>
      </c>
      <c r="E68" s="5" t="inlineStr">
        <is>
          <t>C (cs)</t>
        </is>
      </c>
      <c r="H68" s="5" t="inlineStr">
        <is>
          <t>C (cs)</t>
        </is>
      </c>
      <c r="I68" s="3" t="n"/>
      <c r="K68" s="5" t="inlineStr">
        <is>
          <t>C (cs)</t>
        </is>
      </c>
      <c r="N68" s="6" t="n"/>
      <c r="P68" t="n">
        <v>42.050265</v>
      </c>
      <c r="Q68" t="n">
        <v>-3.5887134</v>
      </c>
    </row>
    <row r="69" ht="27" customHeight="1" s="9">
      <c r="A69" s="3" t="n">
        <v>67</v>
      </c>
      <c r="B69" s="7">
        <f>IFERROR(AVERAGE(F69,L69,I69),"")</f>
        <v/>
      </c>
      <c r="C69" s="8" t="n">
        <v>3</v>
      </c>
      <c r="D69" s="8" t="inlineStr">
        <is>
          <t>B</t>
        </is>
      </c>
      <c r="E69" s="5" t="inlineStr">
        <is>
          <t>F (ns)</t>
        </is>
      </c>
      <c r="H69" s="5" t="inlineStr">
        <is>
          <t>B (sky)</t>
        </is>
      </c>
      <c r="I69" s="3" t="n">
        <v>0.594</v>
      </c>
      <c r="J69" s="4" t="inlineStr">
        <is>
          <t>O3a,O3b</t>
        </is>
      </c>
      <c r="K69" s="5" t="inlineStr">
        <is>
          <t>B (sky)</t>
        </is>
      </c>
      <c r="L69" s="3" t="n">
        <v>0.594</v>
      </c>
      <c r="M69" s="4" t="inlineStr">
        <is>
          <t>O3a,O3b</t>
        </is>
      </c>
      <c r="N69" s="6" t="n"/>
      <c r="P69" t="n">
        <v>42.137923</v>
      </c>
      <c r="Q69" t="n">
        <v>-3.6331218</v>
      </c>
      <c r="R69" t="n">
        <v>9.037000000000001</v>
      </c>
      <c r="S69" t="n">
        <v>0.1</v>
      </c>
    </row>
    <row r="70" ht="27" customHeight="1" s="9">
      <c r="A70" s="3" t="n">
        <v>68</v>
      </c>
      <c r="B70" s="7">
        <f>IFERROR(AVERAGE(F70,L70,I70),"")</f>
        <v/>
      </c>
      <c r="C70" s="8" t="n"/>
      <c r="D70" s="8" t="inlineStr">
        <is>
          <t>C</t>
        </is>
      </c>
      <c r="E70" s="5" t="inlineStr">
        <is>
          <t>C (cs)</t>
        </is>
      </c>
      <c r="H70" s="5" t="inlineStr">
        <is>
          <t>C (cs)</t>
        </is>
      </c>
      <c r="I70" s="3" t="n"/>
      <c r="K70" s="5" t="inlineStr">
        <is>
          <t>C (cs)</t>
        </is>
      </c>
      <c r="N70" s="6" t="n"/>
      <c r="P70" t="n">
        <v>42.143288</v>
      </c>
      <c r="Q70" t="n">
        <v>-3.6387784</v>
      </c>
    </row>
    <row r="71" ht="27" customHeight="1" s="9">
      <c r="A71" s="3" t="n">
        <v>69</v>
      </c>
      <c r="B71" s="7">
        <f>IFERROR(AVERAGE(F71,L71,I71),"")</f>
        <v/>
      </c>
      <c r="C71" s="8" t="n">
        <v>3</v>
      </c>
      <c r="D71" s="8" t="inlineStr">
        <is>
          <t>A</t>
        </is>
      </c>
      <c r="E71" s="5" t="inlineStr">
        <is>
          <t>B (sky)</t>
        </is>
      </c>
      <c r="F71" s="3" t="n">
        <v>0.6595</v>
      </c>
      <c r="G71" s="4" t="inlineStr">
        <is>
          <t>Hb</t>
        </is>
      </c>
      <c r="H71" s="5" t="inlineStr">
        <is>
          <t>A</t>
        </is>
      </c>
      <c r="I71" s="3" t="n">
        <v>0.659</v>
      </c>
      <c r="J71" s="4" t="inlineStr">
        <is>
          <t>Hb,O3a,O3b</t>
        </is>
      </c>
      <c r="K71" s="5" t="inlineStr">
        <is>
          <t>B (sky)</t>
        </is>
      </c>
      <c r="L71" s="3" t="n">
        <v>0.6595</v>
      </c>
      <c r="M71" s="4" t="inlineStr">
        <is>
          <t>Hb,O3b</t>
        </is>
      </c>
      <c r="N71" s="6" t="n"/>
      <c r="O71" s="4" t="inlineStr">
        <is>
          <t>O3b</t>
        </is>
      </c>
      <c r="P71" t="n">
        <v>42.145585</v>
      </c>
      <c r="Q71" t="n">
        <v>-3.6429235</v>
      </c>
      <c r="R71" t="n">
        <v>9.882999999999999</v>
      </c>
      <c r="S71" t="n">
        <v>0.082</v>
      </c>
    </row>
    <row r="72" ht="27" customHeight="1" s="9">
      <c r="A72" s="3" t="n">
        <v>70</v>
      </c>
      <c r="B72" s="7">
        <f>IFERROR(AVERAGE(F72,L72,I72),"")</f>
        <v/>
      </c>
      <c r="C72" s="8" t="n">
        <v>3</v>
      </c>
      <c r="D72" s="8" t="inlineStr">
        <is>
          <t>A</t>
        </is>
      </c>
      <c r="E72" s="5" t="inlineStr">
        <is>
          <t>F (ns)</t>
        </is>
      </c>
      <c r="H72" s="5" t="inlineStr">
        <is>
          <t>A</t>
        </is>
      </c>
      <c r="I72" s="3" t="n">
        <v>0.671</v>
      </c>
      <c r="J72" s="4" t="inlineStr">
        <is>
          <t>Hb,O3b</t>
        </is>
      </c>
      <c r="K72" s="5" t="inlineStr">
        <is>
          <t>A</t>
        </is>
      </c>
      <c r="L72" s="3" t="n">
        <v>0.6715</v>
      </c>
      <c r="M72" s="4" t="inlineStr">
        <is>
          <t>Hb,O3b</t>
        </is>
      </c>
      <c r="N72" s="6" t="n"/>
      <c r="P72" t="n">
        <v>42.118898</v>
      </c>
      <c r="Q72" t="n">
        <v>-3.6356005</v>
      </c>
      <c r="R72" t="n">
        <v>9.769</v>
      </c>
      <c r="S72" t="n">
        <v>0.065</v>
      </c>
    </row>
    <row r="73" ht="27" customHeight="1" s="9">
      <c r="A73" s="3" t="n">
        <v>71</v>
      </c>
      <c r="B73" s="7">
        <f>IFERROR(AVERAGE(F73,L73,I73),"")</f>
        <v/>
      </c>
      <c r="C73" s="8" t="n">
        <v>3</v>
      </c>
      <c r="D73" s="8" t="inlineStr">
        <is>
          <t>A</t>
        </is>
      </c>
      <c r="E73" s="5" t="inlineStr">
        <is>
          <t>F (ns)</t>
        </is>
      </c>
      <c r="H73" s="5" t="inlineStr">
        <is>
          <t>A</t>
        </is>
      </c>
      <c r="I73" s="3" t="n">
        <v>0.681</v>
      </c>
      <c r="J73" s="4" t="inlineStr">
        <is>
          <t>Hb,O3b</t>
        </is>
      </c>
      <c r="K73" s="5" t="inlineStr">
        <is>
          <t>A</t>
        </is>
      </c>
      <c r="L73" s="3" t="n">
        <v>0.6820000000000001</v>
      </c>
      <c r="M73" s="4" t="inlineStr">
        <is>
          <t>Hb,O3b</t>
        </is>
      </c>
      <c r="N73" s="6" t="n"/>
      <c r="P73" t="n">
        <v>42.102837</v>
      </c>
      <c r="Q73" t="n">
        <v>-3.6312542</v>
      </c>
    </row>
    <row r="74" ht="27" customHeight="1" s="9">
      <c r="A74" s="3" t="n">
        <v>72</v>
      </c>
      <c r="B74" s="7">
        <f>IFERROR(AVERAGE(F74,L74,I74),"")</f>
        <v/>
      </c>
      <c r="C74" s="8" t="n">
        <v>3</v>
      </c>
      <c r="D74" s="8" t="inlineStr">
        <is>
          <t>A</t>
        </is>
      </c>
      <c r="E74" s="5" t="inlineStr">
        <is>
          <t>F (ns)</t>
        </is>
      </c>
      <c r="H74" s="5" t="inlineStr">
        <is>
          <t>A</t>
        </is>
      </c>
      <c r="I74" s="3" t="n">
        <v>0.6840000000000001</v>
      </c>
      <c r="J74" s="4" t="inlineStr">
        <is>
          <t>Hg,Hb,O3b</t>
        </is>
      </c>
      <c r="K74" s="5" t="inlineStr">
        <is>
          <t>A</t>
        </is>
      </c>
      <c r="L74" s="3" t="n">
        <v>0.6830000000000001</v>
      </c>
      <c r="M74" s="4" t="inlineStr">
        <is>
          <t>Hg,Hb,O3b</t>
        </is>
      </c>
      <c r="N74" s="6" t="n"/>
      <c r="O74" s="4" t="inlineStr">
        <is>
          <t>Hg,O3b</t>
        </is>
      </c>
      <c r="P74" t="n">
        <v>42.098326</v>
      </c>
      <c r="Q74" t="n">
        <v>-3.632645</v>
      </c>
      <c r="R74" t="n">
        <v>10.223</v>
      </c>
      <c r="S74" t="n">
        <v>0.042</v>
      </c>
    </row>
    <row r="75" ht="27" customHeight="1" s="9">
      <c r="A75" s="3" t="n">
        <v>73</v>
      </c>
      <c r="B75" s="7">
        <f>IFERROR(AVERAGE(F75,L75,I75),"")</f>
        <v/>
      </c>
      <c r="C75" s="8" t="n"/>
      <c r="D75" s="8" t="inlineStr">
        <is>
          <t>C</t>
        </is>
      </c>
      <c r="E75" s="5" t="inlineStr">
        <is>
          <t>C (cs)</t>
        </is>
      </c>
      <c r="H75" s="5" t="inlineStr">
        <is>
          <t>C (cs)</t>
        </is>
      </c>
      <c r="I75" s="3" t="n"/>
      <c r="K75" s="5" t="inlineStr">
        <is>
          <t>C (cs)</t>
        </is>
      </c>
      <c r="N75" s="6" t="n"/>
      <c r="P75" t="n">
        <v>42.127792</v>
      </c>
      <c r="Q75" t="n">
        <v>-3.6539549</v>
      </c>
    </row>
    <row r="76" ht="27" customHeight="1" s="9">
      <c r="A76" s="3" t="n">
        <v>74</v>
      </c>
      <c r="B76" s="7">
        <f>IFERROR(AVERAGE(F76,L76,I76),"")</f>
        <v/>
      </c>
      <c r="C76" s="8" t="n"/>
      <c r="D76" s="8" t="inlineStr">
        <is>
          <t>E</t>
        </is>
      </c>
      <c r="E76" s="5" t="inlineStr">
        <is>
          <t>E (fc)</t>
        </is>
      </c>
      <c r="H76" s="5" t="inlineStr">
        <is>
          <t>E (fc)</t>
        </is>
      </c>
      <c r="I76" s="3" t="n"/>
      <c r="K76" s="5" t="inlineStr">
        <is>
          <t>E (fc)</t>
        </is>
      </c>
      <c r="N76" s="6" t="n"/>
      <c r="P76" t="n">
        <v>41.998617</v>
      </c>
      <c r="Q76" t="n">
        <v>-3.3252376</v>
      </c>
    </row>
    <row r="77" ht="27" customHeight="1" s="9">
      <c r="A77" s="3" t="n">
        <v>75</v>
      </c>
      <c r="B77" s="7">
        <f>IFERROR(AVERAGE(F77,L77,I77),"")</f>
        <v/>
      </c>
      <c r="C77" s="8" t="n">
        <v>2</v>
      </c>
      <c r="D77" s="8" t="inlineStr">
        <is>
          <t>A</t>
        </is>
      </c>
      <c r="E77" s="5" t="inlineStr">
        <is>
          <t>A</t>
        </is>
      </c>
      <c r="F77" s="3" t="n">
        <v>0.955</v>
      </c>
      <c r="G77" s="4" t="inlineStr">
        <is>
          <t>O2</t>
        </is>
      </c>
      <c r="H77" s="5" t="inlineStr">
        <is>
          <t>A</t>
        </is>
      </c>
      <c r="I77" s="3" t="n">
        <v>0.955</v>
      </c>
      <c r="J77" s="4" t="inlineStr">
        <is>
          <t>O2</t>
        </is>
      </c>
      <c r="K77" s="5" t="inlineStr">
        <is>
          <t>F (ns)</t>
        </is>
      </c>
      <c r="N77" s="6" t="n"/>
      <c r="P77" t="n">
        <v>42.040507</v>
      </c>
      <c r="Q77" t="n">
        <v>-3.3474537</v>
      </c>
      <c r="R77" t="n">
        <v>10.114</v>
      </c>
      <c r="S77" t="n">
        <v>0.074</v>
      </c>
    </row>
    <row r="78" ht="27" customHeight="1" s="9">
      <c r="A78" s="3" t="n">
        <v>76</v>
      </c>
      <c r="B78" s="7">
        <f>IFERROR(AVERAGE(F78,L78,I78),"")</f>
        <v/>
      </c>
      <c r="C78" s="8" t="n"/>
      <c r="D78" s="8" t="inlineStr">
        <is>
          <t>E</t>
        </is>
      </c>
      <c r="E78" s="5" t="inlineStr">
        <is>
          <t>E (fc)</t>
        </is>
      </c>
      <c r="H78" s="5" t="inlineStr">
        <is>
          <t>E (fc)</t>
        </is>
      </c>
      <c r="I78" s="3" t="n"/>
      <c r="K78" s="5" t="inlineStr">
        <is>
          <t>E (fc)</t>
        </is>
      </c>
      <c r="N78" s="6" t="n"/>
      <c r="P78" t="n">
        <v>41.997574</v>
      </c>
      <c r="Q78" t="n">
        <v>-3.3318446</v>
      </c>
    </row>
    <row r="79" ht="27" customHeight="1" s="9">
      <c r="A79" s="3" t="n">
        <v>77</v>
      </c>
      <c r="B79" s="7">
        <f>IFERROR(AVERAGE(F79,L79,I79),"")</f>
        <v/>
      </c>
      <c r="C79" s="8" t="n">
        <v>3</v>
      </c>
      <c r="D79" s="8" t="inlineStr">
        <is>
          <t>BS</t>
        </is>
      </c>
      <c r="E79" s="5" t="inlineStr">
        <is>
          <t>F (ns)</t>
        </is>
      </c>
      <c r="H79" s="5" t="inlineStr">
        <is>
          <t>B (sky)</t>
        </is>
      </c>
      <c r="I79" s="3" t="n">
        <v>0.766</v>
      </c>
      <c r="J79" s="4" t="inlineStr">
        <is>
          <t>Hb,O3b</t>
        </is>
      </c>
      <c r="K79" s="5" t="inlineStr">
        <is>
          <t>F (ns)</t>
        </is>
      </c>
      <c r="N79" s="6" t="n"/>
      <c r="O79" s="4" t="inlineStr">
        <is>
          <t>O3b</t>
        </is>
      </c>
      <c r="P79" t="n">
        <v>42.021658</v>
      </c>
      <c r="Q79" t="n">
        <v>-3.3468338</v>
      </c>
      <c r="R79" t="n">
        <v>9.596</v>
      </c>
      <c r="S79" t="n">
        <v>0.089</v>
      </c>
    </row>
    <row r="80" ht="27" customHeight="1" s="9">
      <c r="A80" s="3" t="n">
        <v>78</v>
      </c>
      <c r="B80" s="7">
        <f>IFERROR(AVERAGE(F80,L80,I80),"")</f>
        <v/>
      </c>
      <c r="C80" s="8" t="n">
        <v>3</v>
      </c>
      <c r="D80" s="8" t="inlineStr">
        <is>
          <t>A</t>
        </is>
      </c>
      <c r="E80" s="5" t="inlineStr">
        <is>
          <t>A</t>
        </is>
      </c>
      <c r="F80" s="3" t="n">
        <v>0.497</v>
      </c>
      <c r="G80" s="4" t="inlineStr">
        <is>
          <t>Hb,O3a,O3b</t>
        </is>
      </c>
      <c r="H80" s="5" t="inlineStr">
        <is>
          <t>A</t>
        </is>
      </c>
      <c r="I80" s="3" t="n">
        <v>0.496</v>
      </c>
      <c r="J80" s="4" t="inlineStr">
        <is>
          <t>Hb,O3a,O3b</t>
        </is>
      </c>
      <c r="K80" s="5" t="inlineStr">
        <is>
          <t>A</t>
        </is>
      </c>
      <c r="L80" s="3" t="n">
        <v>0.497</v>
      </c>
      <c r="M80" s="4" t="inlineStr">
        <is>
          <t>Hb,O3a,O3b</t>
        </is>
      </c>
      <c r="N80" s="6" t="n"/>
      <c r="P80" t="n">
        <v>41.991587</v>
      </c>
      <c r="Q80" t="n">
        <v>-3.3362488</v>
      </c>
      <c r="R80" t="n">
        <v>9.371</v>
      </c>
      <c r="S80" t="n">
        <v>0.067</v>
      </c>
    </row>
    <row r="81" ht="27" customHeight="1" s="9">
      <c r="A81" s="3" t="n">
        <v>79</v>
      </c>
      <c r="B81" s="7">
        <f>IFERROR(AVERAGE(F81,L81,I81),"")</f>
        <v/>
      </c>
      <c r="C81" s="8" t="n">
        <v>3</v>
      </c>
      <c r="D81" s="8" t="inlineStr">
        <is>
          <t>A</t>
        </is>
      </c>
      <c r="E81" s="5" t="inlineStr">
        <is>
          <t>B (sky)</t>
        </is>
      </c>
      <c r="F81" s="3" t="n">
        <v>0.653</v>
      </c>
      <c r="G81" s="4" t="inlineStr">
        <is>
          <t>Hb,O3a,O3b</t>
        </is>
      </c>
      <c r="H81" s="5" t="inlineStr">
        <is>
          <t>A</t>
        </is>
      </c>
      <c r="I81" s="3" t="n">
        <v>0.652</v>
      </c>
      <c r="J81" s="4" t="inlineStr">
        <is>
          <t>Hb,O3a,O3b</t>
        </is>
      </c>
      <c r="K81" s="5" t="inlineStr">
        <is>
          <t>A</t>
        </is>
      </c>
      <c r="L81" s="3" t="n">
        <v>0.652</v>
      </c>
      <c r="M81" s="4" t="inlineStr">
        <is>
          <t>Hb,O3a,O3b</t>
        </is>
      </c>
      <c r="N81" s="6" t="inlineStr">
        <is>
          <t>One suspecious emission dot 300 Angstrom bluewards of H beta. Extra gal along light of sight?</t>
        </is>
      </c>
      <c r="O81" s="4" t="inlineStr">
        <is>
          <t>O3a,Hb</t>
        </is>
      </c>
      <c r="P81" t="n">
        <v>42.005795</v>
      </c>
      <c r="Q81" t="n">
        <v>-3.3455384</v>
      </c>
      <c r="R81" t="n">
        <v>9.371</v>
      </c>
      <c r="S81" t="n">
        <v>0.023</v>
      </c>
    </row>
    <row r="82" ht="27" customHeight="1" s="9">
      <c r="A82" s="3" t="n">
        <v>80</v>
      </c>
      <c r="B82" s="7">
        <f>IFERROR(AVERAGE(F82,L82,I82),"")</f>
        <v/>
      </c>
      <c r="C82" s="8" t="n">
        <v>3</v>
      </c>
      <c r="D82" s="8" t="inlineStr">
        <is>
          <t>A</t>
        </is>
      </c>
      <c r="E82" s="5" t="inlineStr">
        <is>
          <t>A</t>
        </is>
      </c>
      <c r="F82" s="3" t="n">
        <v>0.5985</v>
      </c>
      <c r="G82" s="4" t="inlineStr">
        <is>
          <t>Hb,O3a,O3b</t>
        </is>
      </c>
      <c r="H82" s="5" t="inlineStr">
        <is>
          <t>A</t>
        </is>
      </c>
      <c r="I82" s="3" t="n">
        <v>0.598</v>
      </c>
      <c r="J82" s="4" t="inlineStr">
        <is>
          <t>Hb,O3a,O3b</t>
        </is>
      </c>
      <c r="K82" s="5" t="inlineStr">
        <is>
          <t>A</t>
        </is>
      </c>
      <c r="L82" s="3" t="n">
        <v>0.599</v>
      </c>
      <c r="M82" s="4" t="inlineStr">
        <is>
          <t>Hb,O3a,O3b</t>
        </is>
      </c>
      <c r="N82" s="6" t="n"/>
      <c r="P82" t="n">
        <v>41.966109</v>
      </c>
      <c r="Q82" t="n">
        <v>-3.3309641</v>
      </c>
      <c r="R82" t="n">
        <v>10.055</v>
      </c>
      <c r="S82" t="n">
        <v>0.101</v>
      </c>
    </row>
    <row r="83" ht="27" customHeight="1" s="9">
      <c r="A83" s="3" t="n">
        <v>81</v>
      </c>
      <c r="B83" s="7">
        <f>IFERROR(AVERAGE(F83,L83,I83),"")</f>
        <v/>
      </c>
      <c r="C83" s="8" t="n"/>
      <c r="D83" s="8" t="inlineStr">
        <is>
          <t>E</t>
        </is>
      </c>
      <c r="E83" s="5" t="inlineStr">
        <is>
          <t>E (fc)</t>
        </is>
      </c>
      <c r="H83" s="5" t="inlineStr">
        <is>
          <t>E (fc)</t>
        </is>
      </c>
      <c r="I83" s="3" t="n"/>
      <c r="K83" s="5" t="inlineStr">
        <is>
          <t>E (fc)</t>
        </is>
      </c>
      <c r="N83" s="6" t="n"/>
      <c r="P83" t="n">
        <v>42.012715</v>
      </c>
      <c r="Q83" t="n">
        <v>-3.3552017</v>
      </c>
    </row>
    <row r="84" ht="27" customHeight="1" s="9">
      <c r="A84" s="3" t="n">
        <v>82</v>
      </c>
      <c r="B84" s="7">
        <f>IFERROR(AVERAGE(F84,L84,I84),"")</f>
        <v/>
      </c>
      <c r="C84" s="8" t="n">
        <v>3</v>
      </c>
      <c r="D84" s="8" t="inlineStr">
        <is>
          <t>A</t>
        </is>
      </c>
      <c r="E84" s="5" t="inlineStr">
        <is>
          <t>A</t>
        </is>
      </c>
      <c r="F84" s="3" t="n">
        <v>0.5225</v>
      </c>
      <c r="G84" s="4" t="inlineStr">
        <is>
          <t>Hb,O3a,O3b</t>
        </is>
      </c>
      <c r="H84" s="5" t="inlineStr">
        <is>
          <t>A</t>
        </is>
      </c>
      <c r="I84" s="3" t="n">
        <v>0.523</v>
      </c>
      <c r="J84" s="4" t="inlineStr">
        <is>
          <t>Hb,O3a,O3b</t>
        </is>
      </c>
      <c r="K84" s="5" t="inlineStr">
        <is>
          <t>B (sky)</t>
        </is>
      </c>
      <c r="L84" s="3" t="n">
        <v>0.523</v>
      </c>
      <c r="M84" s="4" t="inlineStr">
        <is>
          <t>Hb,O3a,O3b</t>
        </is>
      </c>
      <c r="N84" s="6" t="n"/>
      <c r="P84" t="n">
        <v>42.006723</v>
      </c>
      <c r="Q84" t="n">
        <v>-3.3560606</v>
      </c>
      <c r="R84" t="n">
        <v>9.582000000000001</v>
      </c>
      <c r="S84" t="n">
        <v>0.076</v>
      </c>
    </row>
    <row r="85" ht="27" customHeight="1" s="9">
      <c r="A85" s="3" t="n">
        <v>83</v>
      </c>
      <c r="B85" s="7">
        <f>IFERROR(AVERAGE(F85,L85,I85),"")</f>
        <v/>
      </c>
      <c r="C85" s="8" t="n"/>
      <c r="D85" s="8" t="inlineStr">
        <is>
          <t>E</t>
        </is>
      </c>
      <c r="E85" s="5" t="inlineStr">
        <is>
          <t>F (ns)</t>
        </is>
      </c>
      <c r="H85" s="5" t="inlineStr">
        <is>
          <t>E (fc)</t>
        </is>
      </c>
      <c r="I85" s="3" t="n"/>
      <c r="K85" s="5" t="inlineStr">
        <is>
          <t>F (ns)</t>
        </is>
      </c>
      <c r="N85" s="6" t="n"/>
      <c r="P85" t="n">
        <v>42.033815</v>
      </c>
      <c r="Q85" t="n">
        <v>-3.3721167</v>
      </c>
    </row>
    <row r="86" ht="27" customHeight="1" s="9">
      <c r="A86" s="3" t="n">
        <v>84</v>
      </c>
      <c r="B86" s="7">
        <f>IFERROR(AVERAGE(F86,L86,I86),"")</f>
        <v/>
      </c>
      <c r="C86" s="8" t="n">
        <v>3</v>
      </c>
      <c r="D86" s="8" t="inlineStr">
        <is>
          <t>A</t>
        </is>
      </c>
      <c r="E86" s="5" t="inlineStr">
        <is>
          <t>B (sky)</t>
        </is>
      </c>
      <c r="F86" s="3" t="n">
        <v>0.7665</v>
      </c>
      <c r="G86" s="4" t="inlineStr">
        <is>
          <t>O3b</t>
        </is>
      </c>
      <c r="H86" s="5" t="inlineStr">
        <is>
          <t>A</t>
        </is>
      </c>
      <c r="I86" s="3" t="n">
        <v>0.767</v>
      </c>
      <c r="J86" s="4" t="inlineStr">
        <is>
          <t>Hb,O3b</t>
        </is>
      </c>
      <c r="K86" s="5" t="inlineStr">
        <is>
          <t>B (sky)</t>
        </is>
      </c>
      <c r="L86" s="3" t="n">
        <v>0.767</v>
      </c>
      <c r="M86" s="4" t="inlineStr">
        <is>
          <t>Hb,O3b</t>
        </is>
      </c>
      <c r="N86" s="6" t="n"/>
      <c r="P86" t="n">
        <v>42.010092</v>
      </c>
      <c r="Q86" t="n">
        <v>-3.365015</v>
      </c>
      <c r="R86" t="n">
        <v>9.752000000000001</v>
      </c>
      <c r="S86" t="n">
        <v>0.008</v>
      </c>
    </row>
    <row r="87" ht="27" customHeight="1" s="9">
      <c r="A87" s="3" t="n">
        <v>85</v>
      </c>
      <c r="B87" s="7">
        <f>IFERROR(AVERAGE(F87,L87,I87),"")</f>
        <v/>
      </c>
      <c r="C87" s="8" t="n"/>
      <c r="D87" s="8" t="inlineStr">
        <is>
          <t>C</t>
        </is>
      </c>
      <c r="E87" s="5" t="inlineStr">
        <is>
          <t>C (cs)</t>
        </is>
      </c>
      <c r="H87" s="5" t="inlineStr">
        <is>
          <t>C (cs)</t>
        </is>
      </c>
      <c r="I87" s="3" t="n"/>
      <c r="K87" s="5" t="inlineStr">
        <is>
          <t>C (cs)</t>
        </is>
      </c>
      <c r="N87" s="6" t="n"/>
      <c r="P87" t="n">
        <v>41.982928</v>
      </c>
      <c r="Q87" t="n">
        <v>-3.3570578</v>
      </c>
    </row>
    <row r="88" ht="27" customHeight="1" s="9">
      <c r="A88" s="3" t="n">
        <v>86</v>
      </c>
      <c r="B88" s="7">
        <f>IFERROR(AVERAGE(F88,L88,I88),"")</f>
        <v/>
      </c>
      <c r="C88" s="8" t="n"/>
      <c r="D88" s="8" t="inlineStr">
        <is>
          <t>E</t>
        </is>
      </c>
      <c r="E88" s="5" t="inlineStr">
        <is>
          <t>E (fc)</t>
        </is>
      </c>
      <c r="H88" s="5" t="inlineStr">
        <is>
          <t>E (fc)</t>
        </is>
      </c>
      <c r="I88" s="3" t="n"/>
      <c r="K88" s="5" t="inlineStr">
        <is>
          <t>E (fc)</t>
        </is>
      </c>
      <c r="N88" s="6" t="n"/>
      <c r="P88" t="n">
        <v>42.004756</v>
      </c>
      <c r="Q88" t="n">
        <v>-3.370215</v>
      </c>
    </row>
    <row r="89" ht="27" customHeight="1" s="9">
      <c r="A89" s="3" t="n">
        <v>87</v>
      </c>
      <c r="B89" s="7">
        <f>IFERROR(AVERAGE(F89,L89,I89),"")</f>
        <v/>
      </c>
      <c r="C89" s="8" t="n">
        <v>3</v>
      </c>
      <c r="D89" s="8" t="inlineStr">
        <is>
          <t>A</t>
        </is>
      </c>
      <c r="E89" s="5" t="inlineStr">
        <is>
          <t>A</t>
        </is>
      </c>
      <c r="F89" s="3" t="n">
        <v>0.7415</v>
      </c>
      <c r="G89" s="4" t="inlineStr">
        <is>
          <t>O3b</t>
        </is>
      </c>
      <c r="H89" s="5" t="inlineStr">
        <is>
          <t>A</t>
        </is>
      </c>
      <c r="I89" s="3" t="n">
        <v>0.741</v>
      </c>
      <c r="J89" s="4" t="inlineStr">
        <is>
          <t>Hg,Hb,O3a,O3b</t>
        </is>
      </c>
      <c r="K89" s="5" t="inlineStr">
        <is>
          <t>B (sky)</t>
        </is>
      </c>
      <c r="L89" s="3" t="n">
        <v>0.7415</v>
      </c>
      <c r="M89" s="4" t="inlineStr">
        <is>
          <t>O3b</t>
        </is>
      </c>
      <c r="N89" s="6" t="n"/>
      <c r="O89" s="4" t="inlineStr">
        <is>
          <t>Hb,O3a</t>
        </is>
      </c>
      <c r="P89" t="n">
        <v>42.013011</v>
      </c>
      <c r="Q89" t="n">
        <v>-3.3793457</v>
      </c>
      <c r="R89" t="n">
        <v>9.238</v>
      </c>
      <c r="S89" t="n">
        <v>0.028</v>
      </c>
    </row>
    <row r="90" ht="27" customHeight="1" s="9">
      <c r="A90" s="3" t="n">
        <v>88</v>
      </c>
      <c r="B90" s="7">
        <f>IFERROR(AVERAGE(F90,L90,I90),"")</f>
        <v/>
      </c>
      <c r="C90" s="8" t="n">
        <v>3</v>
      </c>
      <c r="D90" s="8" t="inlineStr">
        <is>
          <t>A</t>
        </is>
      </c>
      <c r="E90" s="5" t="inlineStr">
        <is>
          <t>A</t>
        </is>
      </c>
      <c r="F90" s="3" t="n">
        <v>0.7115</v>
      </c>
      <c r="G90" s="4" t="inlineStr">
        <is>
          <t>Hb,O3a,O3b</t>
        </is>
      </c>
      <c r="H90" s="5" t="inlineStr">
        <is>
          <t>A</t>
        </is>
      </c>
      <c r="I90" s="3" t="n">
        <v>0.712</v>
      </c>
      <c r="J90" s="4" t="inlineStr">
        <is>
          <t>Hb,O3a,O3b</t>
        </is>
      </c>
      <c r="K90" s="5" t="inlineStr">
        <is>
          <t>A</t>
        </is>
      </c>
      <c r="L90" s="3" t="n">
        <v>0.711</v>
      </c>
      <c r="M90" s="4" t="inlineStr">
        <is>
          <t>Hb,O3b</t>
        </is>
      </c>
      <c r="N90" s="6" t="n"/>
      <c r="P90" t="n">
        <v>42.024038</v>
      </c>
      <c r="Q90" t="n">
        <v>-3.3882531</v>
      </c>
      <c r="R90" t="n">
        <v>9.381</v>
      </c>
      <c r="S90" t="n">
        <v>0.081</v>
      </c>
    </row>
    <row r="91" ht="27" customHeight="1" s="9">
      <c r="A91" s="3" t="n">
        <v>89</v>
      </c>
      <c r="B91" s="7">
        <f>IFERROR(AVERAGE(F91,L91,I91),"")</f>
        <v/>
      </c>
      <c r="C91" s="8" t="n">
        <v>3</v>
      </c>
      <c r="D91" s="8" t="inlineStr">
        <is>
          <t>A</t>
        </is>
      </c>
      <c r="E91" s="5" t="inlineStr">
        <is>
          <t>A</t>
        </is>
      </c>
      <c r="F91" s="3" t="n">
        <v>0.508</v>
      </c>
      <c r="G91" s="4" t="inlineStr">
        <is>
          <t>Hb,O3a,O3b</t>
        </is>
      </c>
      <c r="H91" s="5" t="inlineStr">
        <is>
          <t>A</t>
        </is>
      </c>
      <c r="I91" s="3" t="n">
        <v>0.508</v>
      </c>
      <c r="J91" s="4" t="inlineStr">
        <is>
          <t>Hb,O3a,O3b</t>
        </is>
      </c>
      <c r="K91" s="5" t="inlineStr">
        <is>
          <t>B (sky)</t>
        </is>
      </c>
      <c r="L91" s="3" t="n">
        <v>0.508</v>
      </c>
      <c r="M91" s="4" t="inlineStr">
        <is>
          <t>O3b</t>
        </is>
      </c>
      <c r="N91" s="6" t="n"/>
      <c r="P91" t="n">
        <v>41.945192</v>
      </c>
      <c r="Q91" t="n">
        <v>-3.3555771</v>
      </c>
    </row>
    <row r="92" ht="27" customHeight="1" s="9">
      <c r="A92" s="3" t="n">
        <v>90</v>
      </c>
      <c r="B92" s="7">
        <f>IFERROR(AVERAGE(F92,L92,I92),"")</f>
        <v/>
      </c>
      <c r="C92" s="8" t="n">
        <v>3</v>
      </c>
      <c r="D92" s="8" t="inlineStr">
        <is>
          <t>B</t>
        </is>
      </c>
      <c r="E92" s="5" t="inlineStr">
        <is>
          <t>E (fc)</t>
        </is>
      </c>
      <c r="H92" s="5" t="inlineStr">
        <is>
          <t>B (sky)</t>
        </is>
      </c>
      <c r="I92" s="3" t="n">
        <v>0.372</v>
      </c>
      <c r="J92" s="4" t="inlineStr">
        <is>
          <t>N2a,N2b,Ha</t>
        </is>
      </c>
      <c r="K92" s="5" t="inlineStr">
        <is>
          <t>B (sky)</t>
        </is>
      </c>
      <c r="L92" s="3" t="n">
        <v>0.372</v>
      </c>
      <c r="M92" s="4" t="inlineStr">
        <is>
          <t>N2a,N2b,Ha</t>
        </is>
      </c>
      <c r="N92" s="6" t="n"/>
      <c r="O92" s="4" t="inlineStr">
        <is>
          <t>N2a</t>
        </is>
      </c>
      <c r="P92" t="n">
        <v>42.002538</v>
      </c>
      <c r="Q92" t="n">
        <v>-3.385573</v>
      </c>
      <c r="R92" t="n">
        <v>9.977</v>
      </c>
      <c r="S92" t="n">
        <v>0.003</v>
      </c>
    </row>
    <row r="93" ht="27" customHeight="1" s="9">
      <c r="A93" s="3" t="n">
        <v>91</v>
      </c>
      <c r="B93" s="7">
        <f>IFERROR(AVERAGE(F93,L93,I93),"")</f>
        <v/>
      </c>
      <c r="C93" s="8" t="n">
        <v>3</v>
      </c>
      <c r="D93" s="8" t="inlineStr">
        <is>
          <t>A</t>
        </is>
      </c>
      <c r="E93" s="5" t="inlineStr">
        <is>
          <t>A</t>
        </is>
      </c>
      <c r="F93" s="3" t="n">
        <v>0.496</v>
      </c>
      <c r="G93" s="4" t="inlineStr">
        <is>
          <t>Hb,O3a,O3b</t>
        </is>
      </c>
      <c r="H93" s="5" t="inlineStr">
        <is>
          <t>A</t>
        </is>
      </c>
      <c r="I93" s="3" t="n">
        <v>0.495</v>
      </c>
      <c r="J93" s="4" t="inlineStr">
        <is>
          <t>Hb,O3a,O3b</t>
        </is>
      </c>
      <c r="K93" s="5" t="inlineStr">
        <is>
          <t>B (sky)</t>
        </is>
      </c>
      <c r="L93" s="3" t="n">
        <v>0.495</v>
      </c>
      <c r="M93" s="4" t="inlineStr">
        <is>
          <t>Hb,O3b</t>
        </is>
      </c>
      <c r="N93" s="6" t="n"/>
      <c r="O93" s="4" t="inlineStr">
        <is>
          <t>O3a</t>
        </is>
      </c>
      <c r="P93" t="n">
        <v>41.986531</v>
      </c>
      <c r="Q93" t="n">
        <v>-3.3820542</v>
      </c>
      <c r="R93" t="n">
        <v>9.483000000000001</v>
      </c>
      <c r="S93" t="n">
        <v>0.07199999999999999</v>
      </c>
    </row>
    <row r="94" ht="27" customHeight="1" s="9">
      <c r="A94" s="3" t="n">
        <v>92</v>
      </c>
      <c r="B94" s="7">
        <f>IFERROR(AVERAGE(F94,L94,I94),"")</f>
        <v/>
      </c>
      <c r="C94" s="8" t="n">
        <v>3</v>
      </c>
      <c r="D94" s="8" t="inlineStr">
        <is>
          <t>B</t>
        </is>
      </c>
      <c r="E94" s="5" t="inlineStr">
        <is>
          <t>B (sky)</t>
        </is>
      </c>
      <c r="F94" s="3" t="n">
        <v>0.603</v>
      </c>
      <c r="G94" s="4" t="inlineStr">
        <is>
          <t>Hb,O3b</t>
        </is>
      </c>
      <c r="H94" s="5" t="inlineStr">
        <is>
          <t>B (sky)</t>
        </is>
      </c>
      <c r="I94" s="3" t="n">
        <v>0.603</v>
      </c>
      <c r="J94" s="4" t="inlineStr">
        <is>
          <t>Hb,O3b</t>
        </is>
      </c>
      <c r="K94" s="5" t="inlineStr">
        <is>
          <t>E (fc)</t>
        </is>
      </c>
      <c r="N94" s="6" t="n"/>
      <c r="P94" t="n">
        <v>41.946963</v>
      </c>
      <c r="Q94" t="n">
        <v>-3.3686725</v>
      </c>
      <c r="R94" t="n">
        <v>10.088</v>
      </c>
      <c r="S94" t="n">
        <v>0.018</v>
      </c>
    </row>
    <row r="95" ht="27" customHeight="1" s="9">
      <c r="A95" s="3" t="n">
        <v>93</v>
      </c>
      <c r="B95" s="7">
        <f>IFERROR(AVERAGE(F95,L95,I95),"")</f>
        <v/>
      </c>
      <c r="C95" s="8" t="n">
        <v>3</v>
      </c>
      <c r="D95" s="8" t="inlineStr">
        <is>
          <t>A</t>
        </is>
      </c>
      <c r="E95" s="5" t="inlineStr">
        <is>
          <t>A</t>
        </is>
      </c>
      <c r="F95" s="3" t="n">
        <v>0.4965</v>
      </c>
      <c r="G95" s="4" t="inlineStr">
        <is>
          <t>O3a,O3b</t>
        </is>
      </c>
      <c r="H95" s="5" t="inlineStr">
        <is>
          <t>A</t>
        </is>
      </c>
      <c r="I95" s="3" t="n">
        <v>0.496</v>
      </c>
      <c r="J95" s="4" t="inlineStr">
        <is>
          <t>O3a</t>
        </is>
      </c>
      <c r="K95" s="5" t="inlineStr">
        <is>
          <t>A</t>
        </is>
      </c>
      <c r="L95" s="3" t="n">
        <v>0.496</v>
      </c>
      <c r="M95" s="4" t="inlineStr">
        <is>
          <t>O3a</t>
        </is>
      </c>
      <c r="N95" s="6" t="n"/>
      <c r="P95" t="n">
        <v>41.991234</v>
      </c>
      <c r="Q95" t="n">
        <v>-3.3921612</v>
      </c>
      <c r="R95" t="n">
        <v>9.228</v>
      </c>
      <c r="S95" t="n">
        <v>0.106</v>
      </c>
    </row>
    <row r="96" ht="27" customHeight="1" s="9">
      <c r="A96" s="3" t="n">
        <v>94</v>
      </c>
      <c r="B96" s="7">
        <f>IFERROR(AVERAGE(F96,L96,I96),"")</f>
        <v/>
      </c>
      <c r="C96" s="8" t="n"/>
      <c r="D96" s="8" t="inlineStr">
        <is>
          <t>C</t>
        </is>
      </c>
      <c r="E96" s="5" t="inlineStr">
        <is>
          <t>C (cs)</t>
        </is>
      </c>
      <c r="H96" s="5" t="inlineStr">
        <is>
          <t>C (cs)</t>
        </is>
      </c>
      <c r="I96" s="3" t="n"/>
      <c r="K96" s="5" t="inlineStr">
        <is>
          <t>C (cs)</t>
        </is>
      </c>
      <c r="N96" s="6" t="n"/>
      <c r="P96" t="n">
        <v>41.985435</v>
      </c>
      <c r="Q96" t="n">
        <v>-3.3937432</v>
      </c>
    </row>
    <row r="97" ht="27" customHeight="1" s="9">
      <c r="A97" s="3" t="n">
        <v>95</v>
      </c>
      <c r="B97" s="7">
        <f>IFERROR(AVERAGE(F97,L97,I97),"")</f>
        <v/>
      </c>
      <c r="C97" s="8" t="n">
        <v>3</v>
      </c>
      <c r="D97" s="8" t="inlineStr">
        <is>
          <t>A</t>
        </is>
      </c>
      <c r="E97" s="5" t="inlineStr">
        <is>
          <t>A</t>
        </is>
      </c>
      <c r="F97" s="3" t="n">
        <v>0.9395</v>
      </c>
      <c r="G97" s="4" t="inlineStr">
        <is>
          <t>O2</t>
        </is>
      </c>
      <c r="H97" s="5" t="inlineStr">
        <is>
          <t>A</t>
        </is>
      </c>
      <c r="I97" s="3" t="n">
        <v>0.9399999999999999</v>
      </c>
      <c r="J97" s="4" t="inlineStr">
        <is>
          <t>O2</t>
        </is>
      </c>
      <c r="K97" s="5" t="inlineStr">
        <is>
          <t>A</t>
        </is>
      </c>
      <c r="L97" s="3" t="n">
        <v>0.9399999999999999</v>
      </c>
      <c r="M97" s="4" t="inlineStr">
        <is>
          <t>O2</t>
        </is>
      </c>
      <c r="N97" s="6" t="n"/>
      <c r="P97" t="n">
        <v>42.00292</v>
      </c>
      <c r="Q97" t="n">
        <v>-3.4046323</v>
      </c>
      <c r="R97" t="n">
        <v>9.257</v>
      </c>
      <c r="S97" t="n">
        <v>0.054</v>
      </c>
    </row>
    <row r="98" ht="27" customHeight="1" s="9">
      <c r="A98" s="3" t="n">
        <v>96</v>
      </c>
      <c r="B98" s="7">
        <f>IFERROR(AVERAGE(F98,L98,I98),"")</f>
        <v/>
      </c>
      <c r="C98" s="8" t="n">
        <v>3</v>
      </c>
      <c r="D98" s="8" t="inlineStr">
        <is>
          <t>A</t>
        </is>
      </c>
      <c r="E98" s="5" t="inlineStr">
        <is>
          <t>A</t>
        </is>
      </c>
      <c r="F98" s="3" t="n">
        <v>0.495</v>
      </c>
      <c r="G98" s="4" t="inlineStr">
        <is>
          <t>O3a,O3b</t>
        </is>
      </c>
      <c r="H98" s="5" t="inlineStr">
        <is>
          <t>A</t>
        </is>
      </c>
      <c r="I98" s="3" t="n">
        <v>0.496</v>
      </c>
      <c r="J98" s="4" t="inlineStr">
        <is>
          <t>O3a,O3b</t>
        </is>
      </c>
      <c r="K98" s="5" t="inlineStr">
        <is>
          <t>F (ns)</t>
        </is>
      </c>
      <c r="N98" s="6" t="n"/>
      <c r="P98" t="n">
        <v>42.023171</v>
      </c>
      <c r="Q98" t="n">
        <v>-3.4192699</v>
      </c>
      <c r="R98" t="n">
        <v>9.443</v>
      </c>
      <c r="S98" t="n">
        <v>0.064</v>
      </c>
    </row>
    <row r="99" ht="27" customHeight="1" s="9">
      <c r="A99" s="3" t="n">
        <v>97</v>
      </c>
      <c r="B99" s="7">
        <f>IFERROR(AVERAGE(F99,L99,I99),"")</f>
        <v/>
      </c>
      <c r="C99" s="8" t="n">
        <v>3</v>
      </c>
      <c r="D99" s="8" t="inlineStr">
        <is>
          <t>B</t>
        </is>
      </c>
      <c r="E99" s="5" t="inlineStr">
        <is>
          <t>B (sky)</t>
        </is>
      </c>
      <c r="F99" s="3" t="n">
        <v>0.5945</v>
      </c>
      <c r="G99" s="4" t="inlineStr">
        <is>
          <t>Hb,O3b</t>
        </is>
      </c>
      <c r="H99" s="5" t="inlineStr">
        <is>
          <t>B (sky)</t>
        </is>
      </c>
      <c r="I99" s="3" t="n">
        <v>0.596</v>
      </c>
      <c r="J99" s="4" t="inlineStr">
        <is>
          <t>Hb</t>
        </is>
      </c>
      <c r="K99" s="5" t="inlineStr">
        <is>
          <t>B (sky)</t>
        </is>
      </c>
      <c r="L99" s="3" t="n">
        <v>0.5955</v>
      </c>
      <c r="M99" s="4" t="inlineStr">
        <is>
          <t>Hb,O3b</t>
        </is>
      </c>
      <c r="N99" s="6" t="inlineStr">
        <is>
          <t>Only one galaxy at slit position but two continuum observed</t>
        </is>
      </c>
      <c r="O99" s="4" t="inlineStr">
        <is>
          <t>O3b</t>
        </is>
      </c>
      <c r="P99" t="n">
        <v>41.966123</v>
      </c>
      <c r="Q99" t="n">
        <v>-3.3964544</v>
      </c>
      <c r="R99" t="n">
        <v>9.612</v>
      </c>
      <c r="S99" t="n">
        <v>0.046</v>
      </c>
    </row>
    <row r="100" ht="27" customHeight="1" s="9">
      <c r="A100" s="3" t="n">
        <v>98</v>
      </c>
      <c r="B100" s="7">
        <f>IFERROR(AVERAGE(F100,L100,I100),"")</f>
        <v/>
      </c>
      <c r="C100" s="8" t="n">
        <v>3</v>
      </c>
      <c r="D100" s="8" t="inlineStr">
        <is>
          <t>B</t>
        </is>
      </c>
      <c r="E100" s="5" t="inlineStr">
        <is>
          <t>B (sky)</t>
        </is>
      </c>
      <c r="F100" s="3" t="n">
        <v>0.659</v>
      </c>
      <c r="G100" s="4" t="inlineStr">
        <is>
          <t>Hb,O3b</t>
        </is>
      </c>
      <c r="H100" s="5" t="inlineStr">
        <is>
          <t>B (sky)</t>
        </is>
      </c>
      <c r="I100" s="3" t="n">
        <v>0.658</v>
      </c>
      <c r="J100" s="4" t="inlineStr">
        <is>
          <t>Hb</t>
        </is>
      </c>
      <c r="K100" s="5" t="inlineStr">
        <is>
          <t>E (fc)</t>
        </is>
      </c>
      <c r="N100" s="6" t="inlineStr">
        <is>
          <t>Only one faint emission feature</t>
        </is>
      </c>
      <c r="P100" t="n">
        <v>42.030413</v>
      </c>
      <c r="Q100" t="n">
        <v>-3.4348397</v>
      </c>
      <c r="R100" t="n">
        <v>9.888999999999999</v>
      </c>
      <c r="S100" t="n">
        <v>0.056</v>
      </c>
    </row>
    <row r="101" ht="27" customHeight="1" s="9">
      <c r="A101" s="3" t="n">
        <v>99</v>
      </c>
      <c r="B101" s="7">
        <f>IFERROR(AVERAGE(F101,L101,I101),"")</f>
        <v/>
      </c>
      <c r="C101" s="8" t="n">
        <v>3</v>
      </c>
      <c r="D101" s="8" t="inlineStr">
        <is>
          <t>AS</t>
        </is>
      </c>
      <c r="E101" s="5" t="inlineStr">
        <is>
          <t>F (ns)</t>
        </is>
      </c>
      <c r="H101" s="5" t="inlineStr">
        <is>
          <t>A</t>
        </is>
      </c>
      <c r="I101" s="3" t="n">
        <v>0.612</v>
      </c>
      <c r="J101" s="4" t="inlineStr">
        <is>
          <t>Hb,O3b</t>
        </is>
      </c>
      <c r="K101" s="5" t="inlineStr">
        <is>
          <t>F (ns)</t>
        </is>
      </c>
      <c r="N101" s="6" t="n"/>
      <c r="P101" t="n">
        <v>42.006906</v>
      </c>
      <c r="Q101" t="n">
        <v>-3.4284461</v>
      </c>
      <c r="R101" t="n">
        <v>9.651999999999999</v>
      </c>
      <c r="S101" t="n">
        <v>0.045</v>
      </c>
    </row>
    <row r="102" ht="27" customHeight="1" s="9">
      <c r="A102" s="3" t="n">
        <v>100</v>
      </c>
      <c r="B102" s="7">
        <f>IFERROR(AVERAGE(F102,L102,I102),"")</f>
        <v/>
      </c>
      <c r="C102" s="8" t="n">
        <v>3</v>
      </c>
      <c r="D102" s="8" t="inlineStr">
        <is>
          <t>A</t>
        </is>
      </c>
      <c r="E102" s="5" t="inlineStr">
        <is>
          <t>A</t>
        </is>
      </c>
      <c r="F102" s="3" t="n">
        <v>0.7635</v>
      </c>
      <c r="G102" s="4" t="inlineStr">
        <is>
          <t>Hb</t>
        </is>
      </c>
      <c r="H102" s="5" t="inlineStr">
        <is>
          <t>A</t>
        </is>
      </c>
      <c r="I102" s="3" t="n">
        <v>0.764</v>
      </c>
      <c r="J102" s="4" t="inlineStr">
        <is>
          <t>Hb,O3b</t>
        </is>
      </c>
      <c r="K102" s="5" t="inlineStr">
        <is>
          <t>B (sky)</t>
        </is>
      </c>
      <c r="L102" s="3" t="n">
        <v>0.763</v>
      </c>
      <c r="M102" s="4" t="inlineStr">
        <is>
          <t>Hb</t>
        </is>
      </c>
      <c r="N102" s="6" t="n"/>
      <c r="P102" t="n">
        <v>42.020952</v>
      </c>
      <c r="Q102" t="n">
        <v>-3.4394502</v>
      </c>
      <c r="R102" t="n">
        <v>9.983000000000001</v>
      </c>
      <c r="S102" t="n">
        <v>0.07099999999999999</v>
      </c>
    </row>
    <row r="103" ht="27" customHeight="1" s="9">
      <c r="A103" s="3" t="n">
        <v>101</v>
      </c>
      <c r="B103" s="7">
        <f>IFERROR(AVERAGE(F103,L103,I103),"")</f>
        <v/>
      </c>
      <c r="C103" s="8" t="n">
        <v>3</v>
      </c>
      <c r="D103" s="8" t="inlineStr">
        <is>
          <t>B</t>
        </is>
      </c>
      <c r="E103" s="5" t="inlineStr">
        <is>
          <t>B (sky)</t>
        </is>
      </c>
      <c r="F103" s="3" t="n">
        <v>0.604</v>
      </c>
      <c r="G103" s="4" t="inlineStr">
        <is>
          <t>Hb,O3b</t>
        </is>
      </c>
      <c r="H103" s="5" t="inlineStr">
        <is>
          <t>B (sky)</t>
        </is>
      </c>
      <c r="I103" s="3" t="n">
        <v>0.604</v>
      </c>
      <c r="J103" s="4" t="inlineStr">
        <is>
          <t>Hb,O3b</t>
        </is>
      </c>
      <c r="K103" s="5" t="inlineStr">
        <is>
          <t>F (ns)</t>
        </is>
      </c>
      <c r="N103" s="6" t="n"/>
      <c r="P103" t="n">
        <v>41.992792</v>
      </c>
      <c r="Q103" t="n">
        <v>-3.4305084</v>
      </c>
      <c r="R103" t="n">
        <v>9.640000000000001</v>
      </c>
      <c r="S103" t="n">
        <v>0.089</v>
      </c>
    </row>
    <row r="104" ht="27" customHeight="1" s="9">
      <c r="A104" s="3" t="n">
        <v>102</v>
      </c>
      <c r="B104" s="7">
        <f>IFERROR(AVERAGE(F104,L104,I104),"")</f>
        <v/>
      </c>
      <c r="C104" s="8" t="n">
        <v>3</v>
      </c>
      <c r="D104" s="8" t="inlineStr">
        <is>
          <t>A</t>
        </is>
      </c>
      <c r="E104" s="5" t="inlineStr">
        <is>
          <t>B (sky)</t>
        </is>
      </c>
      <c r="F104" s="3" t="n">
        <v>0.466</v>
      </c>
      <c r="G104" s="4" t="inlineStr">
        <is>
          <t>Hb,O3a,O3b</t>
        </is>
      </c>
      <c r="H104" s="5" t="inlineStr">
        <is>
          <t>A</t>
        </is>
      </c>
      <c r="I104" s="3" t="n">
        <v>0.466</v>
      </c>
      <c r="J104" s="4" t="inlineStr">
        <is>
          <t>Hb,O3a,O3b</t>
        </is>
      </c>
      <c r="K104" s="5" t="inlineStr">
        <is>
          <t>F (ns)</t>
        </is>
      </c>
      <c r="N104" s="6" t="n"/>
      <c r="O104" s="4" t="inlineStr">
        <is>
          <t>O3b</t>
        </is>
      </c>
      <c r="P104" t="n">
        <v>41.967925</v>
      </c>
      <c r="Q104" t="n">
        <v>-3.42586</v>
      </c>
      <c r="R104" t="n">
        <v>8.522</v>
      </c>
      <c r="S104" t="n">
        <v>0.038</v>
      </c>
    </row>
    <row r="105" ht="27" customHeight="1" s="9">
      <c r="A105" s="3" t="n">
        <v>103</v>
      </c>
      <c r="B105" s="7">
        <f>IFERROR(AVERAGE(F105,L105,I105),"")</f>
        <v/>
      </c>
      <c r="C105" s="8" t="n"/>
      <c r="D105" s="8" t="inlineStr">
        <is>
          <t>E</t>
        </is>
      </c>
      <c r="E105" s="5" t="inlineStr">
        <is>
          <t>E (fc)</t>
        </is>
      </c>
      <c r="H105" s="5" t="inlineStr">
        <is>
          <t>E (fc)</t>
        </is>
      </c>
      <c r="I105" s="3" t="n"/>
      <c r="K105" s="5" t="inlineStr">
        <is>
          <t>E (fc)</t>
        </is>
      </c>
      <c r="N105" s="6" t="n"/>
      <c r="P105" t="n">
        <v>41.972965</v>
      </c>
      <c r="Q105" t="n">
        <v>-3.4321084</v>
      </c>
    </row>
    <row r="106" ht="27" customHeight="1" s="9">
      <c r="A106" s="3" t="n">
        <v>104</v>
      </c>
      <c r="B106" s="7">
        <f>IFERROR(AVERAGE(F106,L106,I106),"")</f>
        <v/>
      </c>
      <c r="C106" s="8" t="n"/>
      <c r="D106" s="8" t="inlineStr">
        <is>
          <t>D</t>
        </is>
      </c>
      <c r="E106" s="5" t="inlineStr">
        <is>
          <t>D (gc)</t>
        </is>
      </c>
      <c r="H106" s="5" t="inlineStr">
        <is>
          <t>D (gc)</t>
        </is>
      </c>
      <c r="I106" s="3" t="n"/>
      <c r="K106" s="5" t="inlineStr">
        <is>
          <t>D (gc)</t>
        </is>
      </c>
      <c r="N106" s="6" t="n"/>
      <c r="P106" t="n">
        <v>41.961209</v>
      </c>
      <c r="Q106" t="n">
        <v>-3.431136</v>
      </c>
    </row>
    <row r="107" ht="27" customHeight="1" s="9">
      <c r="A107" s="3" t="n">
        <v>105</v>
      </c>
      <c r="B107" s="7">
        <f>IFERROR(AVERAGE(F107,L107,I107),"")</f>
        <v/>
      </c>
      <c r="C107" s="8" t="n">
        <v>3</v>
      </c>
      <c r="D107" s="8" t="inlineStr">
        <is>
          <t>A</t>
        </is>
      </c>
      <c r="E107" s="5" t="inlineStr">
        <is>
          <t>A</t>
        </is>
      </c>
      <c r="F107" s="3" t="n">
        <v>0.5669999999999999</v>
      </c>
      <c r="G107" s="4" t="inlineStr">
        <is>
          <t>Hb,O3a,O3b</t>
        </is>
      </c>
      <c r="H107" s="5" t="inlineStr">
        <is>
          <t>A</t>
        </is>
      </c>
      <c r="I107" s="3" t="n">
        <v>0.5669999999999999</v>
      </c>
      <c r="J107" s="4" t="inlineStr">
        <is>
          <t>Hb,O3a,O3b</t>
        </is>
      </c>
      <c r="K107" s="5" t="inlineStr">
        <is>
          <t>B (sky)</t>
        </is>
      </c>
      <c r="L107" s="3" t="n">
        <v>0.5669999999999999</v>
      </c>
      <c r="M107" s="4" t="inlineStr">
        <is>
          <t>O3b</t>
        </is>
      </c>
      <c r="N107" s="6" t="n"/>
      <c r="P107" t="n">
        <v>41.956463</v>
      </c>
      <c r="Q107" t="n">
        <v>-3.4322077</v>
      </c>
      <c r="R107" t="n">
        <v>9.198</v>
      </c>
      <c r="S107" t="n">
        <v>0.119</v>
      </c>
    </row>
    <row r="108" ht="27" customHeight="1" s="9">
      <c r="A108" s="3" t="n">
        <v>106</v>
      </c>
      <c r="B108" s="7">
        <f>IFERROR(AVERAGE(F108,L108,I108),"")</f>
        <v/>
      </c>
      <c r="C108" s="8" t="n">
        <v>3</v>
      </c>
      <c r="D108" s="8" t="inlineStr">
        <is>
          <t>B</t>
        </is>
      </c>
      <c r="E108" s="5" t="inlineStr">
        <is>
          <t>B (sky)</t>
        </is>
      </c>
      <c r="F108" s="3" t="n">
        <v>0.7635</v>
      </c>
      <c r="G108" s="4" t="inlineStr">
        <is>
          <t>Hb,O3b</t>
        </is>
      </c>
      <c r="H108" s="5" t="inlineStr">
        <is>
          <t>B (sky)</t>
        </is>
      </c>
      <c r="I108" s="3" t="n">
        <v>0.763</v>
      </c>
      <c r="J108" s="4" t="inlineStr">
        <is>
          <t>Hb,O3b</t>
        </is>
      </c>
      <c r="K108" s="5" t="inlineStr">
        <is>
          <t>B (sky)</t>
        </is>
      </c>
      <c r="L108" s="3" t="n">
        <v>0.763</v>
      </c>
      <c r="M108" s="4" t="inlineStr">
        <is>
          <t>Hb,O3a</t>
        </is>
      </c>
      <c r="N108" s="6" t="n"/>
      <c r="P108" t="n">
        <v>41.972777</v>
      </c>
      <c r="Q108" t="n">
        <v>-3.4457256</v>
      </c>
    </row>
    <row r="109" ht="27" customHeight="1" s="9">
      <c r="A109" s="3" t="n">
        <v>107</v>
      </c>
      <c r="B109" s="7">
        <f>IFERROR(AVERAGE(F109,L109,I109),"")</f>
        <v/>
      </c>
      <c r="C109" s="8" t="n">
        <v>3</v>
      </c>
      <c r="D109" s="8" t="inlineStr">
        <is>
          <t>A</t>
        </is>
      </c>
      <c r="E109" s="5" t="inlineStr">
        <is>
          <t>A</t>
        </is>
      </c>
      <c r="F109" s="3" t="n">
        <v>0.5435</v>
      </c>
      <c r="G109" s="4" t="inlineStr">
        <is>
          <t>Hb,O3b</t>
        </is>
      </c>
      <c r="H109" s="5" t="inlineStr">
        <is>
          <t>A</t>
        </is>
      </c>
      <c r="I109" s="3" t="n">
        <v>0.543</v>
      </c>
      <c r="J109" s="4" t="inlineStr">
        <is>
          <t>Hb,O3b</t>
        </is>
      </c>
      <c r="K109" s="5" t="inlineStr">
        <is>
          <t>A</t>
        </is>
      </c>
      <c r="L109" s="3" t="n">
        <v>0.544</v>
      </c>
      <c r="M109" s="4" t="inlineStr">
        <is>
          <t>Hb,O3a,O3b</t>
        </is>
      </c>
      <c r="N109" s="6" t="n"/>
      <c r="P109" t="n">
        <v>41.966831</v>
      </c>
      <c r="Q109" t="n">
        <v>-3.4460413</v>
      </c>
      <c r="R109" t="n">
        <v>10.029</v>
      </c>
      <c r="S109" t="n">
        <v>0.061</v>
      </c>
    </row>
    <row r="110" ht="27" customHeight="1" s="9">
      <c r="A110" s="3" t="n">
        <v>108</v>
      </c>
      <c r="B110" s="7">
        <f>IFERROR(AVERAGE(F110,L110,I110),"")</f>
        <v/>
      </c>
      <c r="C110" s="8" t="n">
        <v>3</v>
      </c>
      <c r="D110" s="8" t="inlineStr">
        <is>
          <t>A</t>
        </is>
      </c>
      <c r="E110" s="5" t="inlineStr">
        <is>
          <t>A</t>
        </is>
      </c>
      <c r="F110" s="3" t="n">
        <v>0.6525</v>
      </c>
      <c r="G110" s="4" t="inlineStr">
        <is>
          <t>O3a,O3b</t>
        </is>
      </c>
      <c r="H110" s="5" t="inlineStr">
        <is>
          <t>A</t>
        </is>
      </c>
      <c r="I110" s="3" t="n">
        <v>0.652</v>
      </c>
      <c r="J110" s="4" t="inlineStr">
        <is>
          <t>Hb,O3a,O3b</t>
        </is>
      </c>
      <c r="K110" s="5" t="inlineStr">
        <is>
          <t>F (ns)</t>
        </is>
      </c>
      <c r="N110" s="6" t="n"/>
      <c r="P110" t="n">
        <v>41.92391</v>
      </c>
      <c r="Q110" t="n">
        <v>-3.4294556</v>
      </c>
      <c r="R110" t="n">
        <v>9.304</v>
      </c>
      <c r="S110" t="n">
        <v>0.098</v>
      </c>
    </row>
    <row r="111" ht="27" customHeight="1" s="9">
      <c r="A111" s="3" t="n">
        <v>109</v>
      </c>
      <c r="B111" s="7">
        <f>IFERROR(AVERAGE(F111,L111,I111),"")</f>
        <v/>
      </c>
      <c r="C111" s="8" t="n">
        <v>3</v>
      </c>
      <c r="D111" s="8" t="inlineStr">
        <is>
          <t>A</t>
        </is>
      </c>
      <c r="E111" s="5" t="inlineStr">
        <is>
          <t>A</t>
        </is>
      </c>
      <c r="F111" s="3" t="n">
        <v>0.464</v>
      </c>
      <c r="G111" s="4" t="inlineStr">
        <is>
          <t>O3a,O3b,Ha,N2a,N2b</t>
        </is>
      </c>
      <c r="H111" s="5" t="inlineStr">
        <is>
          <t>A</t>
        </is>
      </c>
      <c r="I111" s="3" t="n">
        <v>0.465</v>
      </c>
      <c r="J111" s="4" t="inlineStr">
        <is>
          <t>O3b,Ha,N2a,N2b</t>
        </is>
      </c>
      <c r="K111" s="5" t="inlineStr">
        <is>
          <t>A</t>
        </is>
      </c>
      <c r="L111" s="3" t="n">
        <v>0.464</v>
      </c>
      <c r="M111" s="4" t="inlineStr">
        <is>
          <t>O3b,Ha</t>
        </is>
      </c>
      <c r="N111" s="6" t="n"/>
      <c r="O111" s="4" t="inlineStr">
        <is>
          <t>N2a,O3a</t>
        </is>
      </c>
      <c r="P111" t="n">
        <v>41.97965</v>
      </c>
      <c r="Q111" t="n">
        <v>-3.4582016</v>
      </c>
      <c r="R111" t="n">
        <v>9.925000000000001</v>
      </c>
      <c r="S111" t="n">
        <v>0.053</v>
      </c>
    </row>
    <row r="112" ht="27" customHeight="1" s="9">
      <c r="A112" s="3" t="n">
        <v>110</v>
      </c>
      <c r="B112" s="7">
        <f>IFERROR(AVERAGE(F112,L112,I112),"")</f>
        <v/>
      </c>
      <c r="C112" s="8" t="n">
        <v>3</v>
      </c>
      <c r="D112" s="8" t="inlineStr">
        <is>
          <t>A</t>
        </is>
      </c>
      <c r="E112" s="5" t="inlineStr">
        <is>
          <t>A</t>
        </is>
      </c>
      <c r="F112" s="3" t="n">
        <v>0.522</v>
      </c>
      <c r="G112" s="4" t="inlineStr">
        <is>
          <t>Hb,O3a,O3b</t>
        </is>
      </c>
      <c r="H112" s="5" t="inlineStr">
        <is>
          <t>A</t>
        </is>
      </c>
      <c r="I112" s="3" t="n">
        <v>0.522</v>
      </c>
      <c r="J112" s="4" t="inlineStr">
        <is>
          <t>Hb,O3a,O3b</t>
        </is>
      </c>
      <c r="K112" s="5" t="inlineStr">
        <is>
          <t>A</t>
        </is>
      </c>
      <c r="L112" s="3" t="n">
        <v>0.522</v>
      </c>
      <c r="M112" s="4" t="inlineStr">
        <is>
          <t>O3a,O3b</t>
        </is>
      </c>
      <c r="N112" s="6" t="n"/>
      <c r="P112" t="n">
        <v>41.961648</v>
      </c>
      <c r="Q112" t="n">
        <v>-3.4581258</v>
      </c>
      <c r="R112" t="n">
        <v>9.563000000000001</v>
      </c>
      <c r="S112" t="n">
        <v>0.116</v>
      </c>
    </row>
    <row r="113" ht="27" customHeight="1" s="9">
      <c r="A113" s="3" t="n">
        <v>111</v>
      </c>
      <c r="B113" s="7">
        <f>IFERROR(AVERAGE(F113,L113,I113),"")</f>
        <v/>
      </c>
      <c r="C113" s="8" t="n">
        <v>2</v>
      </c>
      <c r="D113" s="8" t="inlineStr">
        <is>
          <t>B</t>
        </is>
      </c>
      <c r="E113" s="5" t="inlineStr">
        <is>
          <t>B (sky)</t>
        </is>
      </c>
      <c r="F113" s="3" t="n">
        <v>0.8585</v>
      </c>
      <c r="G113" s="4" t="inlineStr">
        <is>
          <t>Hb</t>
        </is>
      </c>
      <c r="H113" s="5" t="inlineStr">
        <is>
          <t>B (sky)</t>
        </is>
      </c>
      <c r="I113" s="3" t="n">
        <v>0.859</v>
      </c>
      <c r="J113" s="4" t="inlineStr">
        <is>
          <t>Hb</t>
        </is>
      </c>
      <c r="K113" s="5" t="inlineStr">
        <is>
          <t>B (sky)</t>
        </is>
      </c>
      <c r="L113" s="3" t="n">
        <v>0.859</v>
      </c>
      <c r="M113" s="4" t="inlineStr">
        <is>
          <t>Hb</t>
        </is>
      </c>
      <c r="N113" s="6" t="n"/>
      <c r="O113" s="4" t="inlineStr">
        <is>
          <t>Hb</t>
        </is>
      </c>
      <c r="P113" t="n">
        <v>42.01803</v>
      </c>
      <c r="Q113" t="n">
        <v>-3.4875867</v>
      </c>
    </row>
    <row r="114" ht="27" customHeight="1" s="9">
      <c r="A114" s="3" t="n">
        <v>112</v>
      </c>
      <c r="B114" s="7">
        <f>IFERROR(AVERAGE(F114,L114,I114),"")</f>
        <v/>
      </c>
      <c r="C114" s="8" t="n">
        <v>3</v>
      </c>
      <c r="D114" s="8" t="inlineStr">
        <is>
          <t>A</t>
        </is>
      </c>
      <c r="E114" s="5" t="inlineStr">
        <is>
          <t>A</t>
        </is>
      </c>
      <c r="F114" s="3" t="n">
        <v>0.8235</v>
      </c>
      <c r="G114" s="4" t="inlineStr">
        <is>
          <t>O2,O3b</t>
        </is>
      </c>
      <c r="H114" s="5" t="inlineStr">
        <is>
          <t>A</t>
        </is>
      </c>
      <c r="I114" s="3" t="n">
        <v>0.823</v>
      </c>
      <c r="J114" s="4" t="inlineStr">
        <is>
          <t>O2,Hb,O3b</t>
        </is>
      </c>
      <c r="K114" s="5" t="inlineStr">
        <is>
          <t>A</t>
        </is>
      </c>
      <c r="L114" s="3" t="n">
        <v>0.8225</v>
      </c>
      <c r="M114" s="4" t="inlineStr">
        <is>
          <t>O2,Hb,O3b</t>
        </is>
      </c>
      <c r="N114" s="6" t="n"/>
      <c r="O114" s="4" t="inlineStr">
        <is>
          <t>Hb</t>
        </is>
      </c>
      <c r="P114" t="n">
        <v>41.928584</v>
      </c>
      <c r="Q114" t="n">
        <v>-3.4509424</v>
      </c>
      <c r="R114" t="n">
        <v>9.936999999999999</v>
      </c>
      <c r="S114" t="n">
        <v>0.041</v>
      </c>
    </row>
    <row r="115" ht="27" customHeight="1" s="9">
      <c r="A115" s="3" t="n">
        <v>113</v>
      </c>
      <c r="B115" s="7">
        <f>IFERROR(AVERAGE(F115,L115,I115),"")</f>
        <v/>
      </c>
      <c r="C115" s="8" t="n">
        <v>3</v>
      </c>
      <c r="D115" s="8" t="inlineStr">
        <is>
          <t>A</t>
        </is>
      </c>
      <c r="E115" s="5" t="inlineStr">
        <is>
          <t>B (sky)</t>
        </is>
      </c>
      <c r="F115" s="3" t="n">
        <v>0.824</v>
      </c>
      <c r="G115" s="4" t="inlineStr">
        <is>
          <t>O2</t>
        </is>
      </c>
      <c r="H115" s="5" t="inlineStr">
        <is>
          <t>A</t>
        </is>
      </c>
      <c r="I115" s="3" t="n">
        <v>0.824</v>
      </c>
      <c r="J115" s="4" t="inlineStr">
        <is>
          <t>O2</t>
        </is>
      </c>
      <c r="K115" s="5" t="inlineStr">
        <is>
          <t>A</t>
        </is>
      </c>
      <c r="L115" s="3" t="n">
        <v>0.823</v>
      </c>
      <c r="M115" s="4" t="inlineStr">
        <is>
          <t>O2,Hb</t>
        </is>
      </c>
      <c r="N115" s="6" t="n"/>
      <c r="O115" s="4" t="inlineStr">
        <is>
          <t>Hb</t>
        </is>
      </c>
      <c r="P115" t="n">
        <v>41.900727</v>
      </c>
      <c r="Q115" t="n">
        <v>-3.441635</v>
      </c>
      <c r="R115" t="n">
        <v>9.904999999999999</v>
      </c>
      <c r="S115" t="n">
        <v>0.11</v>
      </c>
    </row>
    <row r="116" ht="27" customHeight="1" s="9">
      <c r="A116" s="3" t="n">
        <v>114</v>
      </c>
      <c r="B116" s="7">
        <f>IFERROR(AVERAGE(F116,L116,I116),"")</f>
        <v/>
      </c>
      <c r="C116" s="8" t="n">
        <v>3</v>
      </c>
      <c r="D116" s="8" t="inlineStr">
        <is>
          <t>B</t>
        </is>
      </c>
      <c r="E116" s="5" t="inlineStr">
        <is>
          <t>A</t>
        </is>
      </c>
      <c r="F116" s="3" t="n">
        <v>1.1535</v>
      </c>
      <c r="G116" s="4" t="inlineStr">
        <is>
          <t>O2</t>
        </is>
      </c>
      <c r="H116" s="5" t="inlineStr">
        <is>
          <t>B (sky)</t>
        </is>
      </c>
      <c r="I116" s="3" t="n">
        <v>1.154</v>
      </c>
      <c r="J116" s="4" t="inlineStr">
        <is>
          <t>O2</t>
        </is>
      </c>
      <c r="K116" s="5" t="inlineStr">
        <is>
          <t>E (fc)</t>
        </is>
      </c>
      <c r="N116" s="6" t="inlineStr">
        <is>
          <t>More than one target in this slit, other z=1.003 ([O II]; 2)</t>
        </is>
      </c>
      <c r="O116" s="4" t="inlineStr">
        <is>
          <t>O2</t>
        </is>
      </c>
      <c r="P116" t="n">
        <v>42.010955</v>
      </c>
      <c r="Q116" t="n">
        <v>-3.4955474</v>
      </c>
    </row>
    <row r="117" ht="27" customHeight="1" s="9">
      <c r="A117" s="3" t="n">
        <v>115</v>
      </c>
      <c r="B117" s="7">
        <f>IFERROR(AVERAGE(F117,L117,I117),"")</f>
        <v/>
      </c>
      <c r="C117" s="8" t="n">
        <v>3</v>
      </c>
      <c r="D117" s="8" t="inlineStr">
        <is>
          <t>A</t>
        </is>
      </c>
      <c r="E117" s="5" t="inlineStr">
        <is>
          <t>A</t>
        </is>
      </c>
      <c r="F117" s="3" t="n">
        <v>0.4655</v>
      </c>
      <c r="G117" s="4" t="inlineStr">
        <is>
          <t>Hb,O3b</t>
        </is>
      </c>
      <c r="H117" s="5" t="inlineStr">
        <is>
          <t>B (sky)</t>
        </is>
      </c>
      <c r="I117" s="3" t="n">
        <v>0.4655</v>
      </c>
      <c r="J117" s="4" t="inlineStr">
        <is>
          <t>Hb,O3b</t>
        </is>
      </c>
      <c r="K117" s="5" t="inlineStr">
        <is>
          <t>B (sky)</t>
        </is>
      </c>
      <c r="L117" s="3" t="n">
        <v>0.4655</v>
      </c>
      <c r="M117" s="4" t="inlineStr">
        <is>
          <t>Hb,O3b</t>
        </is>
      </c>
      <c r="N117" s="6" t="n"/>
      <c r="P117" t="n">
        <v>41.907448</v>
      </c>
      <c r="Q117" t="n">
        <v>-3.4508851</v>
      </c>
      <c r="R117" t="n">
        <v>10.097</v>
      </c>
      <c r="S117" t="n">
        <v>0.014</v>
      </c>
    </row>
    <row r="118" ht="27" customHeight="1" s="9">
      <c r="A118" s="3" t="n">
        <v>116</v>
      </c>
      <c r="B118" s="7">
        <f>IFERROR(AVERAGE(F118,L118,I118),"")</f>
        <v/>
      </c>
      <c r="C118" s="8" t="n">
        <v>3</v>
      </c>
      <c r="D118" s="8" t="inlineStr">
        <is>
          <t>A</t>
        </is>
      </c>
      <c r="E118" s="5" t="inlineStr">
        <is>
          <t>A</t>
        </is>
      </c>
      <c r="F118" s="3" t="n">
        <v>0.7925</v>
      </c>
      <c r="G118" s="4" t="inlineStr">
        <is>
          <t>Hb,O3b</t>
        </is>
      </c>
      <c r="H118" s="5" t="inlineStr">
        <is>
          <t>A</t>
        </is>
      </c>
      <c r="I118" s="3" t="n">
        <v>0.792</v>
      </c>
      <c r="J118" s="4" t="inlineStr">
        <is>
          <t>O3b</t>
        </is>
      </c>
      <c r="K118" s="5" t="inlineStr">
        <is>
          <t>A</t>
        </is>
      </c>
      <c r="L118" s="3" t="n">
        <v>0.793</v>
      </c>
      <c r="M118" s="4" t="inlineStr">
        <is>
          <t>Hb,O3a,O3b</t>
        </is>
      </c>
      <c r="N118" s="6" t="inlineStr">
        <is>
          <t>More than one target in this slit, an [O II] at 100 Angstrom (z=1.1095). Extra gal along light of sight?</t>
        </is>
      </c>
      <c r="P118" t="n">
        <v>41.976644</v>
      </c>
      <c r="Q118" t="n">
        <v>-3.4865642</v>
      </c>
      <c r="R118" t="n">
        <v>9.817</v>
      </c>
      <c r="S118" t="n">
        <v>0.062</v>
      </c>
    </row>
    <row r="119" ht="27" customHeight="1" s="9">
      <c r="A119" s="3" t="n">
        <v>117</v>
      </c>
      <c r="B119" s="7">
        <f>IFERROR(AVERAGE(F119,L119,I119),"")</f>
        <v/>
      </c>
      <c r="C119" s="8" t="n">
        <v>3</v>
      </c>
      <c r="D119" s="8" t="inlineStr">
        <is>
          <t>A</t>
        </is>
      </c>
      <c r="E119" s="5" t="inlineStr">
        <is>
          <t>B (sky)</t>
        </is>
      </c>
      <c r="F119" s="3" t="n">
        <v>0.612</v>
      </c>
      <c r="G119" s="4" t="inlineStr">
        <is>
          <t>Hb,O3b</t>
        </is>
      </c>
      <c r="H119" s="5" t="inlineStr">
        <is>
          <t>A</t>
        </is>
      </c>
      <c r="I119" s="3" t="n">
        <v>0.611</v>
      </c>
      <c r="J119" s="4" t="inlineStr">
        <is>
          <t>Hb,O3b</t>
        </is>
      </c>
      <c r="K119" s="5" t="inlineStr">
        <is>
          <t>A</t>
        </is>
      </c>
      <c r="L119" s="3" t="n">
        <v>0.612</v>
      </c>
      <c r="M119" s="4" t="inlineStr">
        <is>
          <t>O3b</t>
        </is>
      </c>
      <c r="N119" s="6" t="n"/>
      <c r="P119" t="n">
        <v>41.963847</v>
      </c>
      <c r="Q119" t="n">
        <v>-3.483863</v>
      </c>
      <c r="R119" t="n">
        <v>9.340999999999999</v>
      </c>
      <c r="S119" t="n">
        <v>0.075</v>
      </c>
    </row>
    <row r="120" ht="27" customHeight="1" s="9">
      <c r="A120" s="3" t="n">
        <v>118</v>
      </c>
      <c r="B120" s="7">
        <f>IFERROR(AVERAGE(F120,L120,I120),"")</f>
        <v/>
      </c>
      <c r="C120" s="8" t="n">
        <v>3</v>
      </c>
      <c r="D120" s="8" t="inlineStr">
        <is>
          <t>A</t>
        </is>
      </c>
      <c r="E120" s="5" t="inlineStr">
        <is>
          <t>A</t>
        </is>
      </c>
      <c r="F120" s="3" t="n">
        <v>0.6195000000000001</v>
      </c>
      <c r="G120" s="4" t="inlineStr">
        <is>
          <t>Hg,Hb,O3a,O3b</t>
        </is>
      </c>
      <c r="H120" s="5" t="inlineStr">
        <is>
          <t>A</t>
        </is>
      </c>
      <c r="I120" s="3" t="n">
        <v>0.619</v>
      </c>
      <c r="J120" s="4" t="inlineStr">
        <is>
          <t>Hg,Hb,O3a,O3b</t>
        </is>
      </c>
      <c r="K120" s="5" t="inlineStr">
        <is>
          <t>A</t>
        </is>
      </c>
      <c r="L120" s="3" t="n">
        <v>0.619</v>
      </c>
      <c r="M120" s="4" t="inlineStr">
        <is>
          <t>Hg,Hb,O3a,O3b</t>
        </is>
      </c>
      <c r="N120" s="6" t="n"/>
      <c r="P120" t="n">
        <v>41.911107</v>
      </c>
      <c r="Q120" t="n">
        <v>-3.4649008</v>
      </c>
      <c r="R120" t="n">
        <v>9.904999999999999</v>
      </c>
      <c r="S120" t="n">
        <v>0.025</v>
      </c>
    </row>
    <row r="121" ht="27" customHeight="1" s="9">
      <c r="A121" s="3" t="n">
        <v>119</v>
      </c>
      <c r="B121" s="7">
        <f>IFERROR(AVERAGE(F121,L121,I121),"")</f>
        <v/>
      </c>
      <c r="C121" s="8" t="n">
        <v>2</v>
      </c>
      <c r="D121" s="8" t="inlineStr">
        <is>
          <t>B</t>
        </is>
      </c>
      <c r="E121" s="5" t="inlineStr">
        <is>
          <t>F (ns)</t>
        </is>
      </c>
      <c r="H121" s="5" t="inlineStr">
        <is>
          <t>B (sky)</t>
        </is>
      </c>
      <c r="I121" s="3" t="n">
        <v>1.205</v>
      </c>
      <c r="J121" s="4" t="inlineStr">
        <is>
          <t>O2</t>
        </is>
      </c>
      <c r="K121" s="5" t="inlineStr">
        <is>
          <t>F (ns)</t>
        </is>
      </c>
      <c r="N121" s="6" t="n"/>
      <c r="P121" t="n">
        <v>41.963897</v>
      </c>
      <c r="Q121" t="n">
        <v>-3.4937505</v>
      </c>
      <c r="R121" t="n">
        <v>9.922000000000001</v>
      </c>
      <c r="S121" t="n">
        <v>0.099</v>
      </c>
    </row>
    <row r="122" ht="27" customHeight="1" s="9">
      <c r="A122" s="3" t="n">
        <v>120</v>
      </c>
      <c r="B122" s="7">
        <f>IFERROR(AVERAGE(F122,L122,I122),"")</f>
        <v/>
      </c>
      <c r="C122" s="8" t="n">
        <v>3</v>
      </c>
      <c r="D122" s="8" t="inlineStr">
        <is>
          <t>A</t>
        </is>
      </c>
      <c r="E122" s="5" t="inlineStr">
        <is>
          <t>A</t>
        </is>
      </c>
      <c r="F122" s="3" t="n">
        <v>0.665</v>
      </c>
      <c r="G122" s="4" t="inlineStr">
        <is>
          <t>Hb,O3b</t>
        </is>
      </c>
      <c r="H122" s="5" t="inlineStr">
        <is>
          <t>A</t>
        </is>
      </c>
      <c r="I122" s="3" t="n">
        <v>0.6645</v>
      </c>
      <c r="J122" s="4" t="inlineStr">
        <is>
          <t>Hb,O3b</t>
        </is>
      </c>
      <c r="K122" s="5" t="inlineStr">
        <is>
          <t>A</t>
        </is>
      </c>
      <c r="L122" s="3" t="n">
        <v>0.664</v>
      </c>
      <c r="M122" s="4" t="inlineStr">
        <is>
          <t>Hb,O3b</t>
        </is>
      </c>
      <c r="N122" s="6" t="n"/>
      <c r="P122" t="n">
        <v>41.95786</v>
      </c>
      <c r="Q122" t="n">
        <v>-3.4941555</v>
      </c>
      <c r="R122" t="n">
        <v>10.371</v>
      </c>
      <c r="S122" t="n">
        <v>0.042</v>
      </c>
    </row>
    <row r="123" ht="27" customHeight="1" s="9">
      <c r="A123" s="3" t="n">
        <v>121</v>
      </c>
      <c r="B123" s="7">
        <f>IFERROR(AVERAGE(F123,L123,I123),"")</f>
        <v/>
      </c>
      <c r="C123" s="8" t="n"/>
      <c r="D123" s="8" t="inlineStr">
        <is>
          <t>E</t>
        </is>
      </c>
      <c r="E123" s="5" t="inlineStr">
        <is>
          <t>F (ns)</t>
        </is>
      </c>
      <c r="H123" s="5" t="inlineStr">
        <is>
          <t>E (fc)</t>
        </is>
      </c>
      <c r="I123" s="3" t="n"/>
      <c r="K123" s="5" t="inlineStr">
        <is>
          <t>F (ns)</t>
        </is>
      </c>
      <c r="N123" s="6" t="n"/>
      <c r="P123" t="n">
        <v>41.981894</v>
      </c>
      <c r="Q123" t="n">
        <v>-3.5104804</v>
      </c>
    </row>
    <row r="124" ht="27" customHeight="1" s="9">
      <c r="A124" s="3" t="n">
        <v>122</v>
      </c>
      <c r="B124" s="7">
        <f>IFERROR(AVERAGE(F124,L124,I124),"")</f>
        <v/>
      </c>
      <c r="C124" s="8" t="n">
        <v>3</v>
      </c>
      <c r="D124" s="8" t="inlineStr">
        <is>
          <t>A</t>
        </is>
      </c>
      <c r="E124" s="5" t="inlineStr">
        <is>
          <t>A</t>
        </is>
      </c>
      <c r="F124" s="3" t="n">
        <v>0.6225000000000001</v>
      </c>
      <c r="G124" s="4" t="inlineStr">
        <is>
          <t>Hb,O3b</t>
        </is>
      </c>
      <c r="H124" s="5" t="inlineStr">
        <is>
          <t>A</t>
        </is>
      </c>
      <c r="I124" s="3" t="n">
        <v>0.621</v>
      </c>
      <c r="J124" s="4" t="inlineStr">
        <is>
          <t>Hb,O3b</t>
        </is>
      </c>
      <c r="K124" s="5" t="inlineStr">
        <is>
          <t>A</t>
        </is>
      </c>
      <c r="L124" s="3" t="n">
        <v>0.621</v>
      </c>
      <c r="M124" s="4" t="inlineStr">
        <is>
          <t>Hb,O3b</t>
        </is>
      </c>
      <c r="N124" s="6" t="n"/>
      <c r="P124" t="n">
        <v>41.963496</v>
      </c>
      <c r="Q124" t="n">
        <v>-3.5049123</v>
      </c>
      <c r="R124" t="n">
        <v>10.201</v>
      </c>
      <c r="S124" t="n">
        <v>0.004</v>
      </c>
    </row>
    <row r="125" ht="27" customHeight="1" s="9">
      <c r="A125" s="3" t="n">
        <v>123</v>
      </c>
      <c r="B125" s="7">
        <f>IFERROR(AVERAGE(F125,L125,I125),"")</f>
        <v/>
      </c>
      <c r="C125" s="8" t="n"/>
      <c r="D125" s="8" t="inlineStr">
        <is>
          <t>C</t>
        </is>
      </c>
      <c r="E125" s="5" t="inlineStr">
        <is>
          <t>C (cs)</t>
        </is>
      </c>
      <c r="H125" s="5" t="inlineStr">
        <is>
          <t>C (cs)</t>
        </is>
      </c>
      <c r="I125" s="3" t="n"/>
      <c r="K125" s="5" t="inlineStr">
        <is>
          <t>C (cs)</t>
        </is>
      </c>
      <c r="N125" s="6" t="n"/>
      <c r="P125" t="n">
        <v>41.979361</v>
      </c>
      <c r="Q125" t="n">
        <v>-3.5155042</v>
      </c>
    </row>
    <row r="126" ht="27" customHeight="1" s="9">
      <c r="A126" s="3" t="n">
        <v>124</v>
      </c>
      <c r="B126" s="7">
        <f>IFERROR(AVERAGE(F126,L126,I126),"")</f>
        <v/>
      </c>
      <c r="C126" s="8" t="n"/>
      <c r="D126" s="8" t="inlineStr">
        <is>
          <t>E</t>
        </is>
      </c>
      <c r="E126" s="5" t="inlineStr">
        <is>
          <t>E (fc)</t>
        </is>
      </c>
      <c r="H126" s="5" t="inlineStr">
        <is>
          <t>E (fc)</t>
        </is>
      </c>
      <c r="I126" s="3" t="n"/>
      <c r="K126" s="5" t="inlineStr">
        <is>
          <t>E (fc)</t>
        </is>
      </c>
      <c r="N126" s="6" t="n"/>
      <c r="P126" t="n">
        <v>41.960187</v>
      </c>
      <c r="Q126" t="n">
        <v>-3.5101429</v>
      </c>
    </row>
    <row r="127" ht="27" customHeight="1" s="9">
      <c r="A127" s="3" t="n">
        <v>125</v>
      </c>
      <c r="B127" s="7">
        <f>IFERROR(AVERAGE(F127,L127,I127),"")</f>
        <v/>
      </c>
      <c r="C127" s="8" t="n"/>
      <c r="D127" s="8" t="inlineStr">
        <is>
          <t>F</t>
        </is>
      </c>
      <c r="E127" s="5" t="inlineStr">
        <is>
          <t>F (ns)</t>
        </is>
      </c>
      <c r="H127" s="5" t="inlineStr">
        <is>
          <t>F (ns)</t>
        </is>
      </c>
      <c r="I127" s="3" t="n"/>
      <c r="K127" s="5" t="inlineStr">
        <is>
          <t>F (ns)</t>
        </is>
      </c>
      <c r="N127" s="6" t="n"/>
      <c r="P127" t="n">
        <v>41.904261</v>
      </c>
      <c r="Q127" t="n">
        <v>-3.4868777</v>
      </c>
    </row>
    <row r="128" ht="27" customHeight="1" s="9">
      <c r="A128" s="3" t="n">
        <v>126</v>
      </c>
      <c r="B128" s="7">
        <f>IFERROR(AVERAGE(F128,L128,I128),"")</f>
        <v/>
      </c>
      <c r="C128" s="8" t="n"/>
      <c r="D128" s="8" t="inlineStr">
        <is>
          <t>E</t>
        </is>
      </c>
      <c r="E128" s="5" t="inlineStr">
        <is>
          <t>E (fc)</t>
        </is>
      </c>
      <c r="H128" s="5" t="inlineStr">
        <is>
          <t>E (fc)</t>
        </is>
      </c>
      <c r="I128" s="3" t="n"/>
      <c r="K128" s="5" t="inlineStr">
        <is>
          <t>E (fc)</t>
        </is>
      </c>
      <c r="N128" s="6" t="n"/>
      <c r="P128" t="n">
        <v>41.945271</v>
      </c>
      <c r="Q128" t="n">
        <v>-3.5087032</v>
      </c>
    </row>
    <row r="129" ht="27" customHeight="1" s="9">
      <c r="A129" s="3" t="n">
        <v>127</v>
      </c>
      <c r="B129" s="7">
        <f>IFERROR(AVERAGE(F129,L129,I129),"")</f>
        <v/>
      </c>
      <c r="C129" s="8" t="n">
        <v>3</v>
      </c>
      <c r="D129" s="8" t="inlineStr">
        <is>
          <t>A</t>
        </is>
      </c>
      <c r="E129" s="5" t="inlineStr">
        <is>
          <t>A</t>
        </is>
      </c>
      <c r="F129" s="3" t="n">
        <v>0.622</v>
      </c>
      <c r="G129" s="4" t="inlineStr">
        <is>
          <t>O3b</t>
        </is>
      </c>
      <c r="H129" s="5" t="inlineStr">
        <is>
          <t>A</t>
        </is>
      </c>
      <c r="I129" s="3" t="n">
        <v>0.621</v>
      </c>
      <c r="J129" s="4" t="inlineStr">
        <is>
          <t>Hb,O3a,O3b</t>
        </is>
      </c>
      <c r="K129" s="5" t="inlineStr">
        <is>
          <t>F (ns)</t>
        </is>
      </c>
      <c r="N129" s="6" t="n"/>
      <c r="O129" s="4" t="inlineStr">
        <is>
          <t>Hb,O3a</t>
        </is>
      </c>
      <c r="P129" t="n">
        <v>41.962998</v>
      </c>
      <c r="Q129" t="n">
        <v>-3.5201984</v>
      </c>
      <c r="R129" t="n">
        <v>9.696999999999999</v>
      </c>
      <c r="S129" t="n">
        <v>0.063</v>
      </c>
    </row>
    <row r="130" ht="27" customHeight="1" s="9">
      <c r="A130" s="3" t="n">
        <v>128</v>
      </c>
      <c r="B130" s="7">
        <f>IFERROR(AVERAGE(F130,L130,I130),"")</f>
        <v/>
      </c>
      <c r="C130" s="8" t="n">
        <v>3</v>
      </c>
      <c r="D130" s="8" t="inlineStr">
        <is>
          <t>A</t>
        </is>
      </c>
      <c r="E130" s="5" t="inlineStr">
        <is>
          <t>A</t>
        </is>
      </c>
      <c r="F130" s="3" t="n">
        <v>0.4705</v>
      </c>
      <c r="G130" s="4" t="inlineStr">
        <is>
          <t>O3b,Ha</t>
        </is>
      </c>
      <c r="H130" s="5" t="inlineStr">
        <is>
          <t>A</t>
        </is>
      </c>
      <c r="I130" s="3" t="n">
        <v>0.469</v>
      </c>
      <c r="J130" s="4" t="inlineStr">
        <is>
          <t>O3b,Ha</t>
        </is>
      </c>
      <c r="K130" s="5" t="inlineStr">
        <is>
          <t>A</t>
        </is>
      </c>
      <c r="L130" s="3" t="n">
        <v>0.47</v>
      </c>
      <c r="M130" s="4" t="inlineStr">
        <is>
          <t>O3b,Ha</t>
        </is>
      </c>
      <c r="N130" s="6" t="n"/>
      <c r="P130" t="n">
        <v>41.974919</v>
      </c>
      <c r="Q130" t="n">
        <v>-3.5299112</v>
      </c>
      <c r="R130" t="n">
        <v>9.643000000000001</v>
      </c>
      <c r="S130" t="n">
        <v>0.07000000000000001</v>
      </c>
    </row>
    <row r="131" ht="27" customHeight="1" s="9">
      <c r="A131" s="3" t="n">
        <v>129</v>
      </c>
      <c r="B131" s="7">
        <f>IFERROR(AVERAGE(F131,L131,I131),"")</f>
        <v/>
      </c>
      <c r="C131" s="8" t="n">
        <v>3</v>
      </c>
      <c r="D131" s="8" t="inlineStr">
        <is>
          <t>A</t>
        </is>
      </c>
      <c r="E131" s="5" t="inlineStr">
        <is>
          <t>B (sky)</t>
        </is>
      </c>
      <c r="F131" s="3" t="n">
        <v>0.464</v>
      </c>
      <c r="G131" s="4" t="inlineStr">
        <is>
          <t>Hb,O3a,O3b,Ha</t>
        </is>
      </c>
      <c r="H131" s="5" t="inlineStr">
        <is>
          <t>A</t>
        </is>
      </c>
      <c r="I131" s="3" t="n">
        <v>0.464</v>
      </c>
      <c r="J131" s="4" t="inlineStr">
        <is>
          <t>Hb,O3a,O3b,Ha</t>
        </is>
      </c>
      <c r="K131" s="5" t="inlineStr">
        <is>
          <t>A</t>
        </is>
      </c>
      <c r="L131" s="3" t="n">
        <v>0.464</v>
      </c>
      <c r="M131" s="4" t="inlineStr">
        <is>
          <t>Hb,O3a,O3b,Ha</t>
        </is>
      </c>
      <c r="N131" s="6" t="n"/>
      <c r="P131" t="n">
        <v>41.947114</v>
      </c>
      <c r="Q131" t="n">
        <v>-3.5213136</v>
      </c>
      <c r="R131" t="n">
        <v>9.445</v>
      </c>
      <c r="S131" t="n">
        <v>0.043</v>
      </c>
    </row>
    <row r="132" ht="27" customHeight="1" s="9">
      <c r="A132" s="3" t="n">
        <v>130</v>
      </c>
      <c r="B132" s="7">
        <f>IFERROR(AVERAGE(F132,L132,I132),"")</f>
        <v/>
      </c>
      <c r="C132" s="8" t="n">
        <v>3</v>
      </c>
      <c r="D132" s="8" t="inlineStr">
        <is>
          <t>A</t>
        </is>
      </c>
      <c r="E132" s="5" t="inlineStr">
        <is>
          <t>A</t>
        </is>
      </c>
      <c r="F132" s="3" t="n">
        <v>0.7065</v>
      </c>
      <c r="G132" s="4" t="inlineStr">
        <is>
          <t>O3b</t>
        </is>
      </c>
      <c r="H132" s="5" t="inlineStr">
        <is>
          <t>A</t>
        </is>
      </c>
      <c r="I132" s="3" t="n">
        <v>0.705</v>
      </c>
      <c r="J132" s="4" t="inlineStr">
        <is>
          <t>Hg,Hb,O3a,O3b</t>
        </is>
      </c>
      <c r="K132" s="5" t="inlineStr">
        <is>
          <t>B (sky)</t>
        </is>
      </c>
      <c r="L132" s="3" t="n">
        <v>0.707</v>
      </c>
      <c r="M132" s="4" t="inlineStr">
        <is>
          <t>Hg,Hb,O3a,O3b</t>
        </is>
      </c>
      <c r="N132" s="6" t="n"/>
      <c r="O132" s="4" t="inlineStr">
        <is>
          <t>Hg,Hb,O3a</t>
        </is>
      </c>
      <c r="P132" t="n">
        <v>41.885212</v>
      </c>
      <c r="Q132" t="n">
        <v>-3.4952003</v>
      </c>
      <c r="R132" t="n">
        <v>9.398999999999999</v>
      </c>
      <c r="S132" t="n">
        <v>0.123</v>
      </c>
    </row>
    <row r="133" ht="27" customHeight="1" s="9">
      <c r="A133" s="3" t="n">
        <v>131</v>
      </c>
      <c r="B133" s="7">
        <f>IFERROR(AVERAGE(F133,L133,I133),"")</f>
        <v/>
      </c>
      <c r="C133" s="8" t="n">
        <v>3</v>
      </c>
      <c r="D133" s="8" t="inlineStr">
        <is>
          <t>A</t>
        </is>
      </c>
      <c r="E133" s="5" t="inlineStr">
        <is>
          <t>A</t>
        </is>
      </c>
      <c r="F133" s="3" t="n">
        <v>0.5305</v>
      </c>
      <c r="G133" s="4" t="inlineStr">
        <is>
          <t>Hb,O3a,O3b</t>
        </is>
      </c>
      <c r="H133" s="5" t="inlineStr">
        <is>
          <t>A</t>
        </is>
      </c>
      <c r="I133" s="3" t="n">
        <v>0.53</v>
      </c>
      <c r="J133" s="4" t="inlineStr">
        <is>
          <t>Hb,O3a,O3b</t>
        </is>
      </c>
      <c r="K133" s="5" t="inlineStr">
        <is>
          <t>A</t>
        </is>
      </c>
      <c r="L133" s="3" t="n">
        <v>0.5305</v>
      </c>
      <c r="M133" s="4" t="inlineStr">
        <is>
          <t>Hb,O3a,O3b</t>
        </is>
      </c>
      <c r="N133" s="6" t="n"/>
      <c r="O133" s="4" t="inlineStr">
        <is>
          <t>O3a</t>
        </is>
      </c>
      <c r="P133" t="n">
        <v>41.938993</v>
      </c>
      <c r="Q133" t="n">
        <v>-3.5236247</v>
      </c>
      <c r="R133" t="n">
        <v>9.647</v>
      </c>
      <c r="S133" t="n">
        <v>0.044</v>
      </c>
    </row>
    <row r="134" ht="27" customHeight="1" s="9">
      <c r="A134" s="3" t="n">
        <v>132</v>
      </c>
      <c r="B134" s="7">
        <f>IFERROR(AVERAGE(F134,L134,I134),"")</f>
        <v/>
      </c>
      <c r="C134" s="8" t="n">
        <v>3</v>
      </c>
      <c r="D134" s="8" t="inlineStr">
        <is>
          <t>A</t>
        </is>
      </c>
      <c r="E134" s="5" t="inlineStr">
        <is>
          <t>E (fc)</t>
        </is>
      </c>
      <c r="H134" s="5" t="inlineStr">
        <is>
          <t>A</t>
        </is>
      </c>
      <c r="I134" s="3" t="n">
        <v>0.592</v>
      </c>
      <c r="J134" s="4" t="inlineStr">
        <is>
          <t>Hb,O3a,O3b</t>
        </is>
      </c>
      <c r="K134" s="5" t="inlineStr">
        <is>
          <t>B (sky)</t>
        </is>
      </c>
      <c r="L134" s="3" t="n">
        <v>0.5925</v>
      </c>
      <c r="M134" s="4" t="inlineStr">
        <is>
          <t>Hb,O3b</t>
        </is>
      </c>
      <c r="N134" s="6" t="n"/>
      <c r="P134" t="n">
        <v>41.920101</v>
      </c>
      <c r="Q134" t="n">
        <v>-3.5196264</v>
      </c>
      <c r="R134" t="n">
        <v>9.757999999999999</v>
      </c>
      <c r="S134" t="n">
        <v>0.053</v>
      </c>
    </row>
    <row r="135" ht="27" customHeight="1" s="9">
      <c r="A135" s="3" t="n">
        <v>133</v>
      </c>
      <c r="B135" s="7">
        <f>IFERROR(AVERAGE(F135,L135,I135),"")</f>
        <v/>
      </c>
      <c r="C135" s="8" t="n">
        <v>2</v>
      </c>
      <c r="D135" s="8" t="inlineStr">
        <is>
          <t>B</t>
        </is>
      </c>
      <c r="E135" s="5" t="inlineStr">
        <is>
          <t>B (sky)</t>
        </is>
      </c>
      <c r="F135" s="3" t="n">
        <v>0.8615</v>
      </c>
      <c r="G135" s="4" t="inlineStr">
        <is>
          <t>Hb,O3a,O3b</t>
        </is>
      </c>
      <c r="H135" s="5" t="inlineStr">
        <is>
          <t>B (sky)</t>
        </is>
      </c>
      <c r="I135" s="3" t="n">
        <v>0.8615</v>
      </c>
      <c r="J135" s="4" t="inlineStr">
        <is>
          <t>Hb,O3a,O3b</t>
        </is>
      </c>
      <c r="K135" s="5" t="inlineStr">
        <is>
          <t>A</t>
        </is>
      </c>
      <c r="L135" s="3" t="n">
        <v>0.8615</v>
      </c>
      <c r="M135" s="4" t="inlineStr">
        <is>
          <t>Hb,O3a,O3b</t>
        </is>
      </c>
      <c r="N135" s="6" t="n"/>
      <c r="O135" s="4" t="inlineStr">
        <is>
          <t>Hb,O3b</t>
        </is>
      </c>
      <c r="P135" t="n">
        <v>41.97652</v>
      </c>
      <c r="Q135" t="n">
        <v>-3.5486704</v>
      </c>
      <c r="R135" t="n">
        <v>9.961</v>
      </c>
      <c r="S135" t="n">
        <v>0.076</v>
      </c>
    </row>
    <row r="136" ht="27" customHeight="1" s="9">
      <c r="A136" s="3" t="n">
        <v>134</v>
      </c>
      <c r="B136" s="7">
        <f>IFERROR(AVERAGE(F136,L136,I136),"")</f>
        <v/>
      </c>
      <c r="C136" s="8" t="n"/>
      <c r="D136" s="8" t="inlineStr">
        <is>
          <t>E</t>
        </is>
      </c>
      <c r="E136" s="5" t="inlineStr">
        <is>
          <t>E (fc)</t>
        </is>
      </c>
      <c r="H136" s="5" t="inlineStr">
        <is>
          <t>E (fc)</t>
        </is>
      </c>
      <c r="I136" s="3" t="n"/>
      <c r="K136" s="5" t="inlineStr">
        <is>
          <t>E (fc)</t>
        </is>
      </c>
      <c r="N136" s="6" t="n"/>
      <c r="P136" t="n">
        <v>41.918216</v>
      </c>
      <c r="Q136" t="n">
        <v>-3.5249573</v>
      </c>
    </row>
    <row r="137" ht="27" customHeight="1" s="9">
      <c r="A137" s="3" t="n">
        <v>135</v>
      </c>
      <c r="B137" s="7">
        <f>IFERROR(AVERAGE(F137,L137,I137),"")</f>
        <v/>
      </c>
      <c r="C137" s="8" t="n">
        <v>3</v>
      </c>
      <c r="D137" s="8" t="inlineStr">
        <is>
          <t>A</t>
        </is>
      </c>
      <c r="E137" s="5" t="inlineStr">
        <is>
          <t>A</t>
        </is>
      </c>
      <c r="F137" s="3" t="n">
        <v>0.6225000000000001</v>
      </c>
      <c r="G137" s="4" t="inlineStr">
        <is>
          <t>O3b</t>
        </is>
      </c>
      <c r="H137" s="5" t="inlineStr">
        <is>
          <t>B (sky)</t>
        </is>
      </c>
      <c r="I137" s="3" t="n">
        <v>0.622</v>
      </c>
      <c r="J137" s="4" t="inlineStr">
        <is>
          <t>Hb,O3b</t>
        </is>
      </c>
      <c r="K137" s="5" t="inlineStr">
        <is>
          <t>E (fc)</t>
        </is>
      </c>
      <c r="N137" s="6" t="n"/>
      <c r="O137" s="4" t="inlineStr">
        <is>
          <t>Hb</t>
        </is>
      </c>
      <c r="P137" t="n">
        <v>41.9273</v>
      </c>
      <c r="Q137" t="n">
        <v>-3.5324781</v>
      </c>
      <c r="R137" t="n">
        <v>9.733000000000001</v>
      </c>
      <c r="S137" t="n">
        <v>0.063</v>
      </c>
    </row>
    <row r="138" ht="27" customHeight="1" s="9">
      <c r="A138" s="3" t="n">
        <v>136</v>
      </c>
      <c r="B138" s="7">
        <f>IFERROR(AVERAGE(F138,L138,I138),"")</f>
        <v/>
      </c>
      <c r="C138" s="8" t="n">
        <v>3</v>
      </c>
      <c r="D138" s="8" t="inlineStr">
        <is>
          <t>A</t>
        </is>
      </c>
      <c r="E138" s="5" t="inlineStr">
        <is>
          <t>A</t>
        </is>
      </c>
      <c r="F138" s="3" t="n">
        <v>0.506</v>
      </c>
      <c r="G138" s="4" t="inlineStr">
        <is>
          <t>O3b</t>
        </is>
      </c>
      <c r="H138" s="5" t="inlineStr">
        <is>
          <t>A</t>
        </is>
      </c>
      <c r="I138" s="3" t="n">
        <v>0.505</v>
      </c>
      <c r="J138" s="4" t="inlineStr">
        <is>
          <t>Hb,O3a,O3b</t>
        </is>
      </c>
      <c r="K138" s="5" t="inlineStr">
        <is>
          <t>A</t>
        </is>
      </c>
      <c r="L138" s="3" t="n">
        <v>0.506</v>
      </c>
      <c r="M138" s="4" t="inlineStr">
        <is>
          <t>O3b</t>
        </is>
      </c>
      <c r="N138" s="6" t="n"/>
      <c r="O138" s="4" t="inlineStr">
        <is>
          <t>Hb,O3a</t>
        </is>
      </c>
      <c r="P138" t="n">
        <v>41.947358</v>
      </c>
      <c r="Q138" t="n">
        <v>-3.5452056</v>
      </c>
      <c r="R138" t="n">
        <v>9.342000000000001</v>
      </c>
      <c r="S138" t="n">
        <v>0.08699999999999999</v>
      </c>
    </row>
    <row r="139" ht="27" customHeight="1" s="9">
      <c r="A139" s="3" t="n">
        <v>137</v>
      </c>
      <c r="B139" s="7">
        <f>IFERROR(AVERAGE(F139,L139,I139),"")</f>
        <v/>
      </c>
      <c r="C139" s="8" t="n"/>
      <c r="D139" s="8" t="inlineStr">
        <is>
          <t>E</t>
        </is>
      </c>
      <c r="E139" s="5" t="inlineStr">
        <is>
          <t>E (fc)</t>
        </is>
      </c>
      <c r="H139" s="5" t="inlineStr">
        <is>
          <t>E (fc)</t>
        </is>
      </c>
      <c r="I139" s="3" t="n"/>
      <c r="K139" s="5" t="inlineStr">
        <is>
          <t>E (fc)</t>
        </is>
      </c>
      <c r="N139" s="6" t="n"/>
      <c r="P139" t="n">
        <v>41.921956</v>
      </c>
      <c r="Q139" t="n">
        <v>-3.5387636</v>
      </c>
    </row>
    <row r="140" ht="27" customHeight="1" s="9">
      <c r="A140" s="3" t="n">
        <v>138</v>
      </c>
      <c r="B140" s="7">
        <f>IFERROR(AVERAGE(F140,L140,I140),"")</f>
        <v/>
      </c>
      <c r="C140" s="8" t="n">
        <v>3</v>
      </c>
      <c r="D140" s="8" t="inlineStr">
        <is>
          <t>A</t>
        </is>
      </c>
      <c r="E140" s="5" t="inlineStr">
        <is>
          <t>A</t>
        </is>
      </c>
      <c r="F140" s="3" t="n">
        <v>0.6195000000000001</v>
      </c>
      <c r="G140" s="4" t="inlineStr">
        <is>
          <t>Hb,O3a,O3b</t>
        </is>
      </c>
      <c r="H140" s="5" t="inlineStr">
        <is>
          <t>A</t>
        </is>
      </c>
      <c r="I140" s="3" t="n">
        <v>0.62</v>
      </c>
      <c r="J140" s="4" t="inlineStr">
        <is>
          <t>Hb,O3a,O3b</t>
        </is>
      </c>
      <c r="K140" s="5" t="inlineStr">
        <is>
          <t>A</t>
        </is>
      </c>
      <c r="L140" s="3" t="n">
        <v>0.6205000000000001</v>
      </c>
      <c r="M140" s="4" t="inlineStr">
        <is>
          <t>O3a,O3b</t>
        </is>
      </c>
      <c r="N140" s="6" t="n"/>
      <c r="O140" s="4" t="inlineStr">
        <is>
          <t>Hb,O3a</t>
        </is>
      </c>
      <c r="P140" t="n">
        <v>41.875353</v>
      </c>
      <c r="Q140" t="n">
        <v>-3.5202668</v>
      </c>
      <c r="R140" t="n">
        <v>9.257999999999999</v>
      </c>
      <c r="S140" t="n">
        <v>0.119</v>
      </c>
    </row>
    <row r="141" ht="27" customHeight="1" s="9">
      <c r="A141" s="3" t="n">
        <v>139</v>
      </c>
      <c r="B141" s="7">
        <f>IFERROR(AVERAGE(F141,L141,I141),"")</f>
        <v/>
      </c>
      <c r="C141" s="8" t="n">
        <v>3</v>
      </c>
      <c r="D141" s="8" t="inlineStr">
        <is>
          <t>A</t>
        </is>
      </c>
      <c r="E141" s="5" t="inlineStr">
        <is>
          <t>B (sky)</t>
        </is>
      </c>
      <c r="F141" s="3" t="n">
        <v>0.7645</v>
      </c>
      <c r="G141" s="4" t="inlineStr">
        <is>
          <t>Hb,O3a,O3b</t>
        </is>
      </c>
      <c r="H141" s="5" t="inlineStr">
        <is>
          <t>A</t>
        </is>
      </c>
      <c r="I141" s="3" t="n">
        <v>0.765</v>
      </c>
      <c r="J141" s="4" t="inlineStr">
        <is>
          <t>Hb,O3a,O3b</t>
        </is>
      </c>
      <c r="K141" s="5" t="inlineStr">
        <is>
          <t>A</t>
        </is>
      </c>
      <c r="L141" s="3" t="n">
        <v>0.766</v>
      </c>
      <c r="M141" s="4" t="inlineStr">
        <is>
          <t>Hb,O3b</t>
        </is>
      </c>
      <c r="N141" s="6" t="n"/>
      <c r="O141" s="4" t="inlineStr">
        <is>
          <t>O3a</t>
        </is>
      </c>
      <c r="P141" t="n">
        <v>41.932598</v>
      </c>
      <c r="Q141" t="n">
        <v>-3.5497617</v>
      </c>
      <c r="R141" t="n">
        <v>10.01</v>
      </c>
      <c r="S141" t="n">
        <v>0.074</v>
      </c>
    </row>
    <row r="142" ht="27" customHeight="1" s="9">
      <c r="A142" s="3" t="n">
        <v>140</v>
      </c>
      <c r="B142" s="7">
        <f>IFERROR(AVERAGE(F142,L142,I142),"")</f>
        <v/>
      </c>
      <c r="C142" s="8" t="n"/>
      <c r="D142" s="8" t="inlineStr">
        <is>
          <t>D</t>
        </is>
      </c>
      <c r="E142" s="5" t="inlineStr">
        <is>
          <t>D (gc)</t>
        </is>
      </c>
      <c r="H142" s="5" t="inlineStr">
        <is>
          <t>D (gc)</t>
        </is>
      </c>
      <c r="I142" s="3" t="n"/>
      <c r="K142" s="5" t="inlineStr">
        <is>
          <t>D (gc)</t>
        </is>
      </c>
      <c r="N142" s="6" t="n"/>
      <c r="P142" t="n">
        <v>41.934358</v>
      </c>
      <c r="Q142" t="n">
        <v>-3.5550568</v>
      </c>
    </row>
    <row r="143" ht="27" customHeight="1" s="9">
      <c r="A143" s="3" t="n">
        <v>141</v>
      </c>
      <c r="B143" s="7">
        <f>IFERROR(AVERAGE(F143,L143,I143),"")</f>
        <v/>
      </c>
      <c r="C143" s="8" t="n">
        <v>3</v>
      </c>
      <c r="D143" s="8" t="inlineStr">
        <is>
          <t>B</t>
        </is>
      </c>
      <c r="E143" s="5" t="inlineStr">
        <is>
          <t>E (fc)</t>
        </is>
      </c>
      <c r="H143" s="5" t="inlineStr">
        <is>
          <t>B (sky)</t>
        </is>
      </c>
      <c r="I143" s="3" t="n">
        <v>0.62</v>
      </c>
      <c r="J143" s="4" t="inlineStr">
        <is>
          <t>O3b</t>
        </is>
      </c>
      <c r="K143" s="5" t="inlineStr">
        <is>
          <t>B (sky)</t>
        </is>
      </c>
      <c r="L143" s="3" t="n">
        <v>0.62</v>
      </c>
      <c r="M143" s="4" t="inlineStr">
        <is>
          <t>Hb,O3b</t>
        </is>
      </c>
      <c r="N143" s="6" t="n"/>
      <c r="P143" t="n">
        <v>41.8923</v>
      </c>
      <c r="Q143" t="n">
        <v>-3.5398469</v>
      </c>
      <c r="R143" t="n">
        <v>9.914999999999999</v>
      </c>
      <c r="S143" t="n">
        <v>0.026</v>
      </c>
    </row>
    <row r="144" ht="27" customHeight="1" s="9">
      <c r="A144" s="3" t="n">
        <v>142</v>
      </c>
      <c r="B144" s="7">
        <f>IFERROR(AVERAGE(F144,L144,I144),"")</f>
        <v/>
      </c>
      <c r="C144" s="8" t="n"/>
      <c r="D144" s="8" t="inlineStr">
        <is>
          <t>F</t>
        </is>
      </c>
      <c r="E144" s="5" t="inlineStr">
        <is>
          <t>F (ns)</t>
        </is>
      </c>
      <c r="H144" s="5" t="inlineStr">
        <is>
          <t>F (ns)</t>
        </is>
      </c>
      <c r="I144" s="3" t="n"/>
      <c r="K144" s="5" t="inlineStr">
        <is>
          <t>F (ns)</t>
        </is>
      </c>
      <c r="N144" s="6" t="n"/>
      <c r="P144" t="n">
        <v>41.937261</v>
      </c>
      <c r="Q144" t="n">
        <v>-3.5681355</v>
      </c>
    </row>
  </sheetData>
  <conditionalFormatting sqref="B3:C144">
    <cfRule type="containsBlanks" priority="8" dxfId="0">
      <formula>LEN(TRIM(B3))=0</formula>
    </cfRule>
  </conditionalFormatting>
  <conditionalFormatting sqref="D3:D144">
    <cfRule type="expression" priority="1" dxfId="4">
      <formula>OR(D3="C", D3="D", D3="E", D3="F")</formula>
    </cfRule>
  </conditionalFormatting>
  <conditionalFormatting sqref="E3:M144">
    <cfRule type="cellIs" priority="4" operator="equal" dxfId="2">
      <formula>"C (cs)"</formula>
    </cfRule>
    <cfRule type="cellIs" priority="5" operator="equal" dxfId="2">
      <formula>"D (gc)"</formula>
    </cfRule>
    <cfRule type="cellIs" priority="6" operator="equal" dxfId="0">
      <formula>"E (fc)"</formula>
    </cfRule>
    <cfRule type="cellIs" priority="7" operator="equal" dxfId="0">
      <formula>"F (ns)"</formula>
    </cfRule>
  </conditionalFormatting>
  <pageMargins left="0.7" right="0.7" top="0.75" bottom="0.75" header="0.3" footer="0.3"/>
  <pageSetup orientation="portrait" horizontalDpi="1200" verticalDpi="12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D1" sqref="D1"/>
    </sheetView>
  </sheetViews>
  <sheetFormatPr baseColWidth="8" defaultColWidth="8.765625" defaultRowHeight="18"/>
  <cols>
    <col width="6.3828125" bestFit="1" customWidth="1" style="1" min="1" max="1"/>
    <col width="8.3828125" bestFit="1" customWidth="1" style="1" min="2" max="2"/>
    <col width="8.765625" customWidth="1" style="1" min="3" max="3"/>
    <col width="12.921875" bestFit="1" customWidth="1" style="1" min="4" max="4"/>
    <col width="8.765625" customWidth="1" style="1" min="5" max="16384"/>
  </cols>
  <sheetData>
    <row r="1">
      <c r="A1" s="2" t="inlineStr">
        <is>
          <t>conf</t>
        </is>
      </c>
      <c r="B1" s="2" t="inlineStr">
        <is>
          <t>amount</t>
        </is>
      </c>
      <c r="D1" s="2" t="inlineStr">
        <is>
          <t>spec_quality</t>
        </is>
      </c>
      <c r="E1" s="2" t="inlineStr">
        <is>
          <t>amount</t>
        </is>
      </c>
    </row>
    <row r="2">
      <c r="A2" s="2" t="n">
        <v>1</v>
      </c>
      <c r="B2" s="2">
        <f>COUNTIF(redshift_table!C3:C144, "")</f>
        <v/>
      </c>
      <c r="D2" s="2" t="inlineStr">
        <is>
          <t>A</t>
        </is>
      </c>
      <c r="E2" s="2">
        <f>COUNTIF(redshift_table!D3:D144, "A")</f>
        <v/>
      </c>
    </row>
    <row r="3">
      <c r="A3" s="2" t="n">
        <v>2</v>
      </c>
      <c r="B3" s="2">
        <f>COUNTIF(redshift_table!C:C, 2)</f>
        <v/>
      </c>
      <c r="D3" s="2" t="inlineStr">
        <is>
          <t>AS</t>
        </is>
      </c>
      <c r="E3" s="2">
        <f>COUNTIF(redshift_table!D3:D144, "AS")</f>
        <v/>
      </c>
    </row>
    <row r="4">
      <c r="A4" s="2" t="n">
        <v>3</v>
      </c>
      <c r="B4" s="2">
        <f>COUNTIF(redshift_table!C:C, 3)</f>
        <v/>
      </c>
      <c r="D4" s="2" t="inlineStr">
        <is>
          <t>B</t>
        </is>
      </c>
      <c r="E4" s="2">
        <f>COUNTIF(redshift_table!D3:D144, "B")</f>
        <v/>
      </c>
    </row>
    <row r="5">
      <c r="D5" s="1" t="inlineStr">
        <is>
          <t>BS</t>
        </is>
      </c>
      <c r="E5" s="2">
        <f>COUNTIF(redshift_table!D3:D144, "BS")</f>
        <v/>
      </c>
    </row>
    <row r="6">
      <c r="D6" s="1" t="inlineStr">
        <is>
          <t>C</t>
        </is>
      </c>
      <c r="E6" s="2">
        <f>COUNTIF(redshift_table!D3:D144, "C")</f>
        <v/>
      </c>
    </row>
    <row r="7">
      <c r="D7" s="1" t="inlineStr">
        <is>
          <t>D</t>
        </is>
      </c>
      <c r="E7" s="2">
        <f>COUNTIF(redshift_table!D3:D144, "D")</f>
        <v/>
      </c>
    </row>
    <row r="8">
      <c r="D8" s="1" t="inlineStr">
        <is>
          <t>E</t>
        </is>
      </c>
      <c r="E8" s="2">
        <f>COUNTIF(redshift_table!D3:D144, "E")</f>
        <v/>
      </c>
    </row>
    <row r="9">
      <c r="D9" s="1" t="inlineStr">
        <is>
          <t>F</t>
        </is>
      </c>
      <c r="E9" s="2">
        <f>COUNTIF(redshift_table!D3:D144, "F")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14477</dc:creator>
  <dcterms:created xsi:type="dcterms:W3CDTF">2025-06-14T09:03:30Z</dcterms:created>
  <dcterms:modified xsi:type="dcterms:W3CDTF">2026-07-14T05:24:51Z</dcterms:modified>
  <cp:lastModifiedBy>Di, Jiyun - (jiyundi)</cp:lastModifiedBy>
</cp:coreProperties>
</file>