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65" yWindow="255" windowWidth="13935" windowHeight="14070" tabRatio="600" firstSheet="0" activeTab="0" autoFilterDateGrouping="1"/>
  </bookViews>
  <sheets>
    <sheet name="redshift_table" sheetId="1" state="visible" r:id="rId1"/>
    <sheet name="other_calculations" sheetId="2" state="visible" r:id="rId2"/>
  </sheets>
  <definedNames>
    <definedName name="_xlchart.v1.0" hidden="1">redshift_table!$B$3:$B$144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);[Red]\(0.000\)"/>
    <numFmt numFmtId="165" formatCode="0_);[Red]\(0\)"/>
  </numFmts>
  <fonts count="22">
    <font>
      <name val="Consolas"/>
      <charset val="134"/>
      <family val="2"/>
      <color theme="1"/>
      <sz val="14"/>
    </font>
    <font>
      <name val="Consolas"/>
      <charset val="134"/>
      <family val="2"/>
      <color theme="1"/>
      <sz val="14"/>
    </font>
    <font>
      <name val="等线 Light"/>
      <charset val="134"/>
      <family val="2"/>
      <color theme="3"/>
      <sz val="18"/>
      <scheme val="major"/>
    </font>
    <font>
      <name val="Consolas"/>
      <charset val="134"/>
      <family val="2"/>
      <b val="1"/>
      <color theme="3"/>
      <sz val="15"/>
    </font>
    <font>
      <name val="Consolas"/>
      <charset val="134"/>
      <family val="2"/>
      <b val="1"/>
      <color theme="3"/>
      <sz val="13"/>
    </font>
    <font>
      <name val="Consolas"/>
      <charset val="134"/>
      <family val="2"/>
      <b val="1"/>
      <color theme="3"/>
      <sz val="11"/>
    </font>
    <font>
      <name val="Consolas"/>
      <charset val="134"/>
      <family val="2"/>
      <color rgb="FF006100"/>
      <sz val="14"/>
    </font>
    <font>
      <name val="Consolas"/>
      <charset val="134"/>
      <family val="2"/>
      <color rgb="FF9C0006"/>
      <sz val="14"/>
    </font>
    <font>
      <name val="Consolas"/>
      <charset val="134"/>
      <family val="2"/>
      <color rgb="FF9C5700"/>
      <sz val="14"/>
    </font>
    <font>
      <name val="Consolas"/>
      <charset val="134"/>
      <family val="2"/>
      <color rgb="FF3F3F76"/>
      <sz val="14"/>
    </font>
    <font>
      <name val="Consolas"/>
      <charset val="134"/>
      <family val="2"/>
      <b val="1"/>
      <color rgb="FF3F3F3F"/>
      <sz val="14"/>
    </font>
    <font>
      <name val="Consolas"/>
      <charset val="134"/>
      <family val="2"/>
      <b val="1"/>
      <color rgb="FFFA7D00"/>
      <sz val="14"/>
    </font>
    <font>
      <name val="Consolas"/>
      <charset val="134"/>
      <family val="2"/>
      <color rgb="FFFA7D00"/>
      <sz val="14"/>
    </font>
    <font>
      <name val="Consolas"/>
      <charset val="134"/>
      <family val="2"/>
      <b val="1"/>
      <color theme="0"/>
      <sz val="14"/>
    </font>
    <font>
      <name val="Consolas"/>
      <charset val="134"/>
      <family val="2"/>
      <color rgb="FFFF0000"/>
      <sz val="14"/>
    </font>
    <font>
      <name val="Consolas"/>
      <charset val="134"/>
      <family val="2"/>
      <i val="1"/>
      <color rgb="FF7F7F7F"/>
      <sz val="14"/>
    </font>
    <font>
      <name val="Consolas"/>
      <charset val="134"/>
      <family val="2"/>
      <b val="1"/>
      <color theme="1"/>
      <sz val="14"/>
    </font>
    <font>
      <name val="Consolas"/>
      <charset val="134"/>
      <family val="2"/>
      <color theme="0"/>
      <sz val="14"/>
    </font>
    <font>
      <name val="Consolas"/>
      <charset val="134"/>
      <family val="2"/>
      <sz val="9"/>
    </font>
    <font>
      <name val="Consolas"/>
      <family val="3"/>
      <color theme="1"/>
      <sz val="14"/>
    </font>
    <font>
      <name val="Consolas"/>
      <family val="3"/>
      <b val="1"/>
      <color theme="1"/>
      <sz val="8"/>
    </font>
    <font>
      <name val="Consolas"/>
      <family val="3"/>
      <color theme="1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164" fontId="20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0" fillId="0" borderId="0" pivotButton="0" quotePrefix="0" xfId="0"/>
    <xf numFmtId="164" fontId="20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177" formatCode="0_);[Red]\(0\)"/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177" formatCode="0_);[Red]\(0\)"/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  <numFmt numFmtId="176" formatCode="0.000_);[Red]\(0.000\)"/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 xml:space="preserve"> confidence distribution</a:t>
            </a:r>
            <a:endParaRPr lang="en-US" altLang="zh-CN" sz="1800" b="1">
              <a:solidFill>
                <a:schemeClr val="tx2"/>
              </a:solidFill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 alt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50835828620014"/>
          <y val="0.2395853860513425"/>
          <w val="0.6373445713651991"/>
          <h val="0.604966103835951"/>
        </manualLayout>
      </layout>
      <doughnutChart>
        <varyColors val="1"/>
        <ser>
          <idx val="1"/>
          <order val="0"/>
          <tx>
            <strRef>
              <f>other_calculations!$B$1</f>
              <strCache>
                <ptCount val="1"/>
                <pt idx="0">
                  <v>amount</v>
                </pt>
              </strCache>
            </strRef>
          </tx>
          <spPr>
            <a:ln w="0">
              <a:prstDash val="solid"/>
            </a:ln>
          </spPr>
          <explosion val="10"/>
          <dPt>
            <idx val="0"/>
            <bubble3D val="0"/>
            <spPr>
              <a:solidFill>
                <a:schemeClr val="accent2"/>
              </a:solidFill>
              <a:ln w="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4"/>
              </a:solidFill>
              <a:ln w="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6"/>
              </a:solidFill>
              <a:ln w="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val>
            <numRef>
              <f>other_calculations!$B$2:$B$4</f>
              <numCache>
                <formatCode>General</formatCode>
                <ptCount val="3"/>
                <pt idx="0">
                  <v>36</v>
                </pt>
                <pt idx="1">
                  <v>6</v>
                </pt>
                <pt idx="2">
                  <v>100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30"/>
        <holeSize val="31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 xml:space="preserve"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1453840710275222"/>
          <y val="0.0273411502046468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 alt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50835828620014"/>
          <y val="0.2332354948944763"/>
          <w val="0.6373445713651991"/>
          <h val="0.604966103835951"/>
        </manualLayout>
      </layout>
      <doughnutChart>
        <varyColors val="1"/>
        <ser>
          <idx val="0"/>
          <order val="0"/>
          <tx>
            <strRef>
              <f>other_calculations!$E$1</f>
              <strCache>
                <ptCount val="1"/>
                <pt idx="0">
                  <v>amount</v>
                </pt>
              </strCache>
            </strRef>
          </tx>
          <spPr>
            <a:ln>
              <a:prstDash val="solid"/>
            </a:ln>
          </spPr>
          <explosion val="18"/>
          <dPt>
            <idx val="0"/>
            <bubble3D val="0"/>
            <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other_calculations!$D$2:$D$9</f>
              <strCache>
                <ptCount val="8"/>
                <pt idx="0">
                  <v>A</v>
                </pt>
                <pt idx="1">
                  <v>AS</v>
                </pt>
                <pt idx="2">
                  <v>B</v>
                </pt>
                <pt idx="3">
                  <v>BS</v>
                </pt>
                <pt idx="4">
                  <v>C</v>
                </pt>
                <pt idx="5">
                  <v>D</v>
                </pt>
                <pt idx="6">
                  <v>E</v>
                </pt>
                <pt idx="7">
                  <v>F</v>
                </pt>
              </strCache>
            </strRef>
          </cat>
          <val>
            <numRef>
              <f>other_calculations!$E$2:$E$9</f>
              <numCache>
                <formatCode>General</formatCode>
                <ptCount val="8"/>
                <pt idx="0">
                  <v>71</v>
                </pt>
                <pt idx="1">
                  <v>5</v>
                </pt>
                <pt idx="2">
                  <v>25</v>
                </pt>
                <pt idx="3">
                  <v>5</v>
                </pt>
                <pt idx="4">
                  <v>8</v>
                </pt>
                <pt idx="5">
                  <v>4</v>
                </pt>
                <pt idx="6">
                  <v>20</v>
                </pt>
                <pt idx="7">
                  <v>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248"/>
        <holeSize val="25"/>
      </doughnutChart>
    </plotArea>
    <legend>
      <legendPos val="b"/>
      <layout>
        <manualLayout>
          <xMode val="edge"/>
          <yMode val="edge"/>
          <wMode val="factor"/>
          <hMode val="factor"/>
          <x val="0"/>
          <y val="0.9169193665060711"/>
          <w val="1"/>
          <h val="0.0830806334939287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180975</colOff>
      <row>144</row>
      <rowOff>180975</rowOff>
    </from>
    <to>
      <col>13</col>
      <colOff>3562350</colOff>
      <row>154</row>
      <rowOff>314325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84667</colOff>
      <row>155</row>
      <rowOff>67732</rowOff>
    </from>
    <to>
      <col>5</col>
      <colOff>561975</colOff>
      <row>166</row>
      <rowOff>169334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2:O144" headerRowCount="1" totalsRowShown="0" headerRowDxfId="22" dataDxfId="21">
  <autoFilter ref="A2:O144"/>
  <tableColumns count="15">
    <tableColumn id="1" name="slit" dataDxfId="20"/>
    <tableColumn id="7" name="z" dataDxfId="19">
      <calculatedColumnFormula>IFERROR(AVERAGE(F3,L3,I3),"")</calculatedColumnFormula>
    </tableColumn>
    <tableColumn id="9" name="conf" dataDxfId="18"/>
    <tableColumn id="6" name="spec_quality" dataDxfId="17"/>
    <tableColumn id="5" name="grade1" dataDxfId="16"/>
    <tableColumn id="13" name="z1" dataDxfId="15"/>
    <tableColumn id="3" name="lines1" dataDxfId="14"/>
    <tableColumn id="16" name="grade3" dataDxfId="13"/>
    <tableColumn id="15" name="z3" dataDxfId="12"/>
    <tableColumn id="14" name="lines3" dataDxfId="11"/>
    <tableColumn id="2" name="grade2" dataDxfId="10"/>
    <tableColumn id="11" name="z2" dataDxfId="9"/>
    <tableColumn id="4" name="lines2" dataDxfId="8"/>
    <tableColumn id="10" name="note" dataDxfId="7"/>
    <tableColumn id="8" name="bad_lin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4"/>
  <sheetViews>
    <sheetView tabSelected="1" zoomScaleNormal="100" workbookViewId="0">
      <pane xSplit="1" ySplit="2" topLeftCell="K102" activePane="bottomRight" state="frozen"/>
      <selection pane="topRight" activeCell="B1" sqref="B1"/>
      <selection pane="bottomLeft" activeCell="A3" sqref="A3"/>
      <selection pane="bottomRight" activeCell="P110" sqref="P110"/>
    </sheetView>
  </sheetViews>
  <sheetFormatPr baseColWidth="8" defaultColWidth="8.796875" defaultRowHeight="27" customHeight="1"/>
  <cols>
    <col width="5.19921875" bestFit="1" customWidth="1" style="3" min="1" max="1"/>
    <col width="4.796875" bestFit="1" customWidth="1" style="3" min="2" max="2"/>
    <col width="5.19921875" bestFit="1" customWidth="1" style="4" min="3" max="3"/>
    <col width="10" bestFit="1" customWidth="1" style="4" min="4" max="4"/>
    <col width="10.19921875" bestFit="1" customWidth="1" style="3" min="5" max="5"/>
    <col width="4.796875" bestFit="1" customWidth="1" style="3" min="6" max="6"/>
    <col width="12.19921875" bestFit="1" customWidth="1" style="4" min="7" max="7"/>
    <col width="6.3984375" bestFit="1" customWidth="1" style="4" min="8" max="8"/>
    <col width="4.796875" bestFit="1" customWidth="1" style="4" min="9" max="9"/>
    <col width="9.59765625" bestFit="1" customWidth="1" style="4" min="10" max="10"/>
    <col width="6.3984375" bestFit="1" customWidth="1" style="3" min="11" max="11"/>
    <col width="4.796875" bestFit="1" customWidth="1" style="3" min="12" max="12"/>
    <col width="9" bestFit="1" customWidth="1" style="4" min="13" max="13"/>
    <col width="6.59765625" customWidth="1" style="3" min="14" max="14"/>
    <col width="7.59765625" bestFit="1" customWidth="1" style="4" min="15" max="15"/>
    <col width="67" bestFit="1" customWidth="1" style="4" min="16" max="16"/>
    <col width="8" bestFit="1" customWidth="1" style="4" min="17" max="17"/>
    <col width="67" bestFit="1" customWidth="1" style="4" min="18" max="18"/>
    <col width="8.796875" customWidth="1" style="4" min="19" max="16384"/>
  </cols>
  <sheetData>
    <row r="1" ht="27" customHeight="1" s="9">
      <c r="B1" s="3" t="inlineStr">
        <is>
          <t>All</t>
        </is>
      </c>
      <c r="E1" s="5" t="inlineStr">
        <is>
          <t>Set_A_m1_231023</t>
        </is>
      </c>
      <c r="H1" s="5" t="inlineStr">
        <is>
          <t>Set_C</t>
        </is>
      </c>
      <c r="K1" s="5" t="inlineStr">
        <is>
          <t>Set_B_p1</t>
        </is>
      </c>
      <c r="N1" s="6" t="n"/>
    </row>
    <row r="2" ht="27" customHeight="1" s="9">
      <c r="A2" s="3" t="inlineStr">
        <is>
          <t>slit</t>
        </is>
      </c>
      <c r="B2" s="3" t="inlineStr">
        <is>
          <t>z</t>
        </is>
      </c>
      <c r="C2" s="4" t="inlineStr">
        <is>
          <t>conf</t>
        </is>
      </c>
      <c r="D2" s="4" t="inlineStr">
        <is>
          <t>spec_quality</t>
        </is>
      </c>
      <c r="E2" s="5" t="inlineStr">
        <is>
          <t>grade1</t>
        </is>
      </c>
      <c r="F2" s="3" t="inlineStr">
        <is>
          <t>z1</t>
        </is>
      </c>
      <c r="G2" s="4" t="inlineStr">
        <is>
          <t>lines1</t>
        </is>
      </c>
      <c r="H2" s="5" t="inlineStr">
        <is>
          <t>grade3</t>
        </is>
      </c>
      <c r="I2" s="3" t="inlineStr">
        <is>
          <t>z3</t>
        </is>
      </c>
      <c r="J2" s="4" t="inlineStr">
        <is>
          <t>lines3</t>
        </is>
      </c>
      <c r="K2" s="5" t="inlineStr">
        <is>
          <t>grade2</t>
        </is>
      </c>
      <c r="L2" s="3" t="inlineStr">
        <is>
          <t>z2</t>
        </is>
      </c>
      <c r="M2" s="4" t="inlineStr">
        <is>
          <t>lines2</t>
        </is>
      </c>
      <c r="N2" s="6" t="inlineStr">
        <is>
          <t>note</t>
        </is>
      </c>
      <c r="O2" s="4" t="inlineStr">
        <is>
          <t>bad_line</t>
        </is>
      </c>
      <c r="P2" t="inlineStr">
        <is>
          <t>slit_RA</t>
        </is>
      </c>
      <c r="Q2" t="inlineStr">
        <is>
          <t>slit_DEC</t>
        </is>
      </c>
      <c r="R2" t="inlineStr">
        <is>
          <t>M_s</t>
        </is>
      </c>
      <c r="S2" t="inlineStr">
        <is>
          <t>M_s_err</t>
        </is>
      </c>
      <c r="T2" t="inlineStr">
        <is>
          <t>g1</t>
        </is>
      </c>
      <c r="U2" t="inlineStr">
        <is>
          <t>g1_median</t>
        </is>
      </c>
      <c r="V2" t="inlineStr">
        <is>
          <t>g1_err-</t>
        </is>
      </c>
      <c r="W2" t="inlineStr">
        <is>
          <t>g1_err+</t>
        </is>
      </c>
      <c r="X2" t="inlineStr">
        <is>
          <t>g2</t>
        </is>
      </c>
      <c r="Y2" t="inlineStr">
        <is>
          <t>g2_median</t>
        </is>
      </c>
      <c r="Z2" t="inlineStr">
        <is>
          <t>g2_err-</t>
        </is>
      </c>
      <c r="AA2" t="inlineStr">
        <is>
          <t>g2_err+</t>
        </is>
      </c>
      <c r="AB2" t="inlineStr">
        <is>
          <t>theta_int</t>
        </is>
      </c>
      <c r="AC2" t="inlineStr">
        <is>
          <t>theta_int_median</t>
        </is>
      </c>
      <c r="AD2" t="inlineStr">
        <is>
          <t>theta_int_err-</t>
        </is>
      </c>
      <c r="AE2" t="inlineStr">
        <is>
          <t>theta_int_err+</t>
        </is>
      </c>
      <c r="AF2" t="inlineStr">
        <is>
          <t>vcirc</t>
        </is>
      </c>
      <c r="AG2" t="inlineStr">
        <is>
          <t>vcirc_median</t>
        </is>
      </c>
      <c r="AH2" t="inlineStr">
        <is>
          <t>vcirc_err-</t>
        </is>
      </c>
      <c r="AI2" t="inlineStr">
        <is>
          <t>vcirc_err+</t>
        </is>
      </c>
      <c r="AJ2" t="inlineStr">
        <is>
          <t>cosi</t>
        </is>
      </c>
      <c r="AK2" t="inlineStr">
        <is>
          <t>cosi_median</t>
        </is>
      </c>
      <c r="AL2" t="inlineStr">
        <is>
          <t>cosi_err-</t>
        </is>
      </c>
      <c r="AM2" t="inlineStr">
        <is>
          <t>cosi_err+</t>
        </is>
      </c>
      <c r="AN2" t="inlineStr">
        <is>
          <t>r_hl_disk</t>
        </is>
      </c>
      <c r="AO2" t="inlineStr">
        <is>
          <t>r_hl_disk_median</t>
        </is>
      </c>
      <c r="AP2" t="inlineStr">
        <is>
          <t>r_hl_disk_err-</t>
        </is>
      </c>
      <c r="AQ2" t="inlineStr">
        <is>
          <t>r_hl_disk_err+</t>
        </is>
      </c>
      <c r="AR2" t="inlineStr">
        <is>
          <t>flux</t>
        </is>
      </c>
      <c r="AS2" t="inlineStr">
        <is>
          <t>flux_median</t>
        </is>
      </c>
      <c r="AT2" t="inlineStr">
        <is>
          <t>flux_err-</t>
        </is>
      </c>
      <c r="AU2" t="inlineStr">
        <is>
          <t>flux_err+</t>
        </is>
      </c>
      <c r="AV2" t="inlineStr">
        <is>
          <t>dx_disk</t>
        </is>
      </c>
      <c r="AW2" t="inlineStr">
        <is>
          <t>dx_disk_median</t>
        </is>
      </c>
      <c r="AX2" t="inlineStr">
        <is>
          <t>dx_disk_err-</t>
        </is>
      </c>
      <c r="AY2" t="inlineStr">
        <is>
          <t>dx_disk_err+</t>
        </is>
      </c>
      <c r="AZ2" t="inlineStr">
        <is>
          <t>dy_disk</t>
        </is>
      </c>
      <c r="BA2" t="inlineStr">
        <is>
          <t>dy_disk_median</t>
        </is>
      </c>
      <c r="BB2" t="inlineStr">
        <is>
          <t>dy_disk_err-</t>
        </is>
      </c>
      <c r="BC2" t="inlineStr">
        <is>
          <t>dy_disk_err+</t>
        </is>
      </c>
      <c r="BD2" t="inlineStr">
        <is>
          <t>vscale</t>
        </is>
      </c>
      <c r="BE2" t="inlineStr">
        <is>
          <t>vscale_median</t>
        </is>
      </c>
      <c r="BF2" t="inlineStr">
        <is>
          <t>vscale_err-</t>
        </is>
      </c>
      <c r="BG2" t="inlineStr">
        <is>
          <t>vscale_err+</t>
        </is>
      </c>
    </row>
    <row r="3" ht="27" customHeight="1" s="9">
      <c r="A3" s="3" t="n">
        <v>1</v>
      </c>
      <c r="B3" s="10">
        <f>IFERROR(AVERAGE(F3,L3,I3),"")</f>
        <v/>
      </c>
      <c r="C3" s="11" t="n"/>
      <c r="D3" s="11" t="inlineStr">
        <is>
          <t>F</t>
        </is>
      </c>
      <c r="E3" s="5" t="inlineStr">
        <is>
          <t>F (ns)</t>
        </is>
      </c>
      <c r="H3" s="5" t="inlineStr">
        <is>
          <t>F (ns)</t>
        </is>
      </c>
      <c r="I3" s="3" t="n"/>
      <c r="K3" s="5" t="inlineStr">
        <is>
          <t>F (ns)</t>
        </is>
      </c>
      <c r="N3" s="6" t="n"/>
      <c r="P3" t="n">
        <v>42.166334</v>
      </c>
      <c r="Q3" t="n">
        <v>-3.4023557</v>
      </c>
    </row>
    <row r="4" ht="27" customHeight="1" s="9">
      <c r="A4" s="3" t="n">
        <v>2</v>
      </c>
      <c r="B4" s="10">
        <f>IFERROR(AVERAGE(F4,L4,I4),"")</f>
        <v/>
      </c>
      <c r="C4" s="11" t="n"/>
      <c r="D4" s="11" t="inlineStr">
        <is>
          <t>E</t>
        </is>
      </c>
      <c r="E4" s="5" t="inlineStr">
        <is>
          <t>E (fc)</t>
        </is>
      </c>
      <c r="H4" s="5" t="inlineStr">
        <is>
          <t>E (fc)</t>
        </is>
      </c>
      <c r="I4" s="3" t="n"/>
      <c r="K4" s="5" t="inlineStr">
        <is>
          <t>E (fc)</t>
        </is>
      </c>
      <c r="N4" s="6" t="n"/>
      <c r="P4" t="n">
        <v>42.195348</v>
      </c>
      <c r="Q4" t="n">
        <v>-3.4206981</v>
      </c>
    </row>
    <row r="5" ht="27" customHeight="1" s="9">
      <c r="A5" s="3" t="n">
        <v>3</v>
      </c>
      <c r="B5" s="10">
        <f>IFERROR(AVERAGE(F5,L5,I5),"")</f>
        <v/>
      </c>
      <c r="C5" s="11" t="n">
        <v>3</v>
      </c>
      <c r="D5" s="11" t="inlineStr">
        <is>
          <t>A</t>
        </is>
      </c>
      <c r="E5" s="5" t="inlineStr">
        <is>
          <t>F (ns)</t>
        </is>
      </c>
      <c r="H5" s="5" t="inlineStr">
        <is>
          <t>A</t>
        </is>
      </c>
      <c r="I5" s="3" t="n">
        <v>0.773</v>
      </c>
      <c r="J5" s="4" t="inlineStr">
        <is>
          <t>Hb,O3a,O3b</t>
        </is>
      </c>
      <c r="K5" s="5" t="inlineStr">
        <is>
          <t>B (sky)</t>
        </is>
      </c>
      <c r="L5" s="3" t="n">
        <v>0.773</v>
      </c>
      <c r="M5" s="4" t="inlineStr">
        <is>
          <t>O3a,O3b</t>
        </is>
      </c>
      <c r="N5" s="6" t="n"/>
      <c r="O5" s="4" t="inlineStr">
        <is>
          <t>Hb,O3a</t>
        </is>
      </c>
      <c r="P5" t="n">
        <v>42.179617</v>
      </c>
      <c r="Q5" t="n">
        <v>-3.4185339</v>
      </c>
      <c r="R5" t="n">
        <v>9.672000000000001</v>
      </c>
      <c r="S5" t="n">
        <v>0.098</v>
      </c>
      <c r="T5" t="n">
        <v>-0.1467178407246726</v>
      </c>
      <c r="U5" t="n">
        <v>-0.138</v>
      </c>
      <c r="V5" t="n">
        <v>0.0089</v>
      </c>
      <c r="W5" t="n">
        <v>-0.0192</v>
      </c>
      <c r="X5" t="n">
        <v>-0.03170215152258833</v>
      </c>
      <c r="Y5" t="n">
        <v>-0.0214</v>
      </c>
      <c r="Z5" t="n">
        <v>-0.0774</v>
      </c>
      <c r="AA5" t="n">
        <v>0.08500000000000001</v>
      </c>
      <c r="AB5" t="n">
        <v>2.33505002083889</v>
      </c>
      <c r="AC5" t="n">
        <v>2.314</v>
      </c>
      <c r="AD5" t="n">
        <v>-0.037</v>
      </c>
      <c r="AE5" t="n">
        <v>0.0286</v>
      </c>
      <c r="AF5" t="n">
        <v>206.3226630979121</v>
      </c>
      <c r="AG5" t="n">
        <v>134.13</v>
      </c>
      <c r="AH5" t="n">
        <v>-15.7666</v>
      </c>
      <c r="AI5" t="n">
        <v>19.498</v>
      </c>
      <c r="AJ5" t="n">
        <v>0.4548299848586048</v>
      </c>
      <c r="AK5" t="n">
        <v>0.4451</v>
      </c>
      <c r="AL5" t="n">
        <v>-0.0796</v>
      </c>
      <c r="AM5" t="n">
        <v>0.081</v>
      </c>
      <c r="AN5" t="n">
        <v>0.5444543658790778</v>
      </c>
      <c r="AO5" t="n">
        <v>0.5558999999999999</v>
      </c>
      <c r="AP5" t="n">
        <v>-0.0421</v>
      </c>
      <c r="AQ5" t="n">
        <v>0.0505</v>
      </c>
      <c r="AR5" t="n">
        <v>4.50245698515525</v>
      </c>
      <c r="AS5" t="n">
        <v>4.5008</v>
      </c>
      <c r="AT5" t="n">
        <v>-0.0055</v>
      </c>
      <c r="AU5" t="n">
        <v>0.0056</v>
      </c>
      <c r="AV5" t="n">
        <v>0.2595422918433199</v>
      </c>
      <c r="AW5" t="n">
        <v>0.2609</v>
      </c>
      <c r="AX5" t="n">
        <v>-0.0122</v>
      </c>
      <c r="AY5" t="n">
        <v>0.012</v>
      </c>
      <c r="AZ5" t="n">
        <v>-0.0657910287558332</v>
      </c>
      <c r="BA5" t="n">
        <v>-0.0619</v>
      </c>
      <c r="BB5" t="n">
        <v>-0.0149</v>
      </c>
      <c r="BC5" t="n">
        <v>0.0123</v>
      </c>
      <c r="BD5" t="n">
        <v>2.54727030536768</v>
      </c>
      <c r="BE5" t="n">
        <v>1.6116</v>
      </c>
      <c r="BF5" t="n">
        <v>-0.3563</v>
      </c>
      <c r="BG5" t="n">
        <v>0.5276</v>
      </c>
    </row>
    <row r="6" ht="27" customHeight="1" s="9">
      <c r="A6" s="3" t="n">
        <v>4</v>
      </c>
      <c r="B6" s="10">
        <f>IFERROR(AVERAGE(F6,L6,I6),"")</f>
        <v/>
      </c>
      <c r="C6" s="11" t="n">
        <v>3</v>
      </c>
      <c r="D6" s="11" t="inlineStr">
        <is>
          <t>B</t>
        </is>
      </c>
      <c r="E6" s="5" t="inlineStr">
        <is>
          <t>F (ns)</t>
        </is>
      </c>
      <c r="H6" s="5" t="inlineStr">
        <is>
          <t>B (sky)</t>
        </is>
      </c>
      <c r="I6" s="3" t="n">
        <v>0.668</v>
      </c>
      <c r="J6" s="4" t="inlineStr">
        <is>
          <t>Hb,O3b</t>
        </is>
      </c>
      <c r="K6" s="5" t="inlineStr">
        <is>
          <t>B (sky)</t>
        </is>
      </c>
      <c r="L6" s="3" t="n">
        <v>0.6685</v>
      </c>
      <c r="M6" s="4" t="inlineStr">
        <is>
          <t>Hb,O3b</t>
        </is>
      </c>
      <c r="N6" s="6" t="n"/>
      <c r="P6" t="n">
        <v>42.202186</v>
      </c>
      <c r="Q6" t="n">
        <v>-3.431905</v>
      </c>
    </row>
    <row r="7" ht="27" customHeight="1" s="9">
      <c r="A7" s="3" t="n">
        <v>5</v>
      </c>
      <c r="B7" s="10">
        <f>IFERROR(AVERAGE(F7,L7,I7),"")</f>
        <v/>
      </c>
      <c r="C7" s="11" t="n">
        <v>3</v>
      </c>
      <c r="D7" s="11" t="inlineStr">
        <is>
          <t>A</t>
        </is>
      </c>
      <c r="E7" s="5" t="inlineStr">
        <is>
          <t>B (sky)</t>
        </is>
      </c>
      <c r="F7" s="3" t="n">
        <v>0.8465</v>
      </c>
      <c r="G7" s="4" t="inlineStr">
        <is>
          <t>Hb,O3b</t>
        </is>
      </c>
      <c r="H7" s="5" t="inlineStr">
        <is>
          <t>A</t>
        </is>
      </c>
      <c r="I7" s="3" t="n">
        <v>0.846</v>
      </c>
      <c r="J7" s="4" t="inlineStr">
        <is>
          <t>Hg,Hb,O3b</t>
        </is>
      </c>
      <c r="K7" s="5" t="inlineStr">
        <is>
          <t>A</t>
        </is>
      </c>
      <c r="L7" s="3" t="n">
        <v>0.846</v>
      </c>
      <c r="M7" s="4" t="inlineStr">
        <is>
          <t>Hb,O3b</t>
        </is>
      </c>
      <c r="N7" s="6" t="n"/>
      <c r="O7" s="4" t="inlineStr">
        <is>
          <t>Hg</t>
        </is>
      </c>
      <c r="P7" t="n">
        <v>42.199228</v>
      </c>
      <c r="Q7" t="n">
        <v>-3.4354826</v>
      </c>
      <c r="R7" t="n">
        <v>9.951000000000001</v>
      </c>
      <c r="S7" t="n">
        <v>0.052</v>
      </c>
      <c r="T7" t="n">
        <v>-0.1086572669262341</v>
      </c>
      <c r="U7" t="n">
        <v>-0.09719999999999999</v>
      </c>
      <c r="V7" t="n">
        <v>-0.0173</v>
      </c>
      <c r="W7" t="n">
        <v>0.0175</v>
      </c>
      <c r="X7" t="n">
        <v>-0.1271610818838191</v>
      </c>
      <c r="Y7" t="n">
        <v>-0.1405</v>
      </c>
      <c r="Z7" t="n">
        <v>0.007</v>
      </c>
      <c r="AA7" t="n">
        <v>-0.0131</v>
      </c>
      <c r="AB7" t="n">
        <v>-2.052756617684762</v>
      </c>
      <c r="AC7" t="n">
        <v>-2.0466</v>
      </c>
      <c r="AD7" t="n">
        <v>-0.0383</v>
      </c>
      <c r="AE7" t="n">
        <v>0.0378</v>
      </c>
      <c r="AF7" t="n">
        <v>251.3359756850434</v>
      </c>
      <c r="AG7" t="n">
        <v>196.4651</v>
      </c>
      <c r="AH7" t="n">
        <v>-14.7663</v>
      </c>
      <c r="AI7" t="n">
        <v>13.5131</v>
      </c>
      <c r="AJ7" t="n">
        <v>0.7498765493199482</v>
      </c>
      <c r="AK7" t="n">
        <v>0.723</v>
      </c>
      <c r="AL7" t="n">
        <v>-0.0237</v>
      </c>
      <c r="AM7" t="n">
        <v>0.0253</v>
      </c>
      <c r="AN7" t="n">
        <v>0.5065936247335605</v>
      </c>
      <c r="AO7" t="n">
        <v>0.5135999999999999</v>
      </c>
      <c r="AP7" t="n">
        <v>-0.0105</v>
      </c>
      <c r="AQ7" t="n">
        <v>0.0105</v>
      </c>
      <c r="AR7" t="n">
        <v>4.78379573336613</v>
      </c>
      <c r="AS7" t="n">
        <v>4.7825</v>
      </c>
      <c r="AT7" t="n">
        <v>-0.0037</v>
      </c>
      <c r="AU7" t="n">
        <v>0.0039</v>
      </c>
      <c r="AV7" t="n">
        <v>-0.3306084588431837</v>
      </c>
      <c r="AW7" t="n">
        <v>-0.3332</v>
      </c>
      <c r="AX7" t="n">
        <v>-0.0123</v>
      </c>
      <c r="AY7" t="n">
        <v>0.0128</v>
      </c>
      <c r="AZ7" t="n">
        <v>0.1651919380021361</v>
      </c>
      <c r="BA7" t="n">
        <v>0.1597</v>
      </c>
      <c r="BB7" t="n">
        <v>-0.0137</v>
      </c>
      <c r="BC7" t="n">
        <v>0.0145</v>
      </c>
      <c r="BD7" t="n">
        <v>1.081366932770894</v>
      </c>
      <c r="BE7" t="n">
        <v>0.7761</v>
      </c>
      <c r="BF7" t="n">
        <v>-0.1062</v>
      </c>
      <c r="BG7" t="n">
        <v>0.1073</v>
      </c>
    </row>
    <row r="8" ht="27" customHeight="1" s="9">
      <c r="A8" s="3" t="n">
        <v>6</v>
      </c>
      <c r="B8" s="10">
        <f>IFERROR(AVERAGE(F8,L8,I8),"")</f>
        <v/>
      </c>
      <c r="C8" s="11" t="n"/>
      <c r="D8" s="11" t="inlineStr">
        <is>
          <t>D</t>
        </is>
      </c>
      <c r="E8" s="5" t="inlineStr">
        <is>
          <t>D (gc)</t>
        </is>
      </c>
      <c r="H8" s="5" t="inlineStr">
        <is>
          <t>D (gc)</t>
        </is>
      </c>
      <c r="I8" s="3" t="n"/>
      <c r="K8" s="5" t="inlineStr">
        <is>
          <t>D (gc)</t>
        </is>
      </c>
      <c r="N8" s="6" t="n"/>
      <c r="P8" t="n">
        <v>42.176061</v>
      </c>
      <c r="Q8" t="n">
        <v>-3.4287201</v>
      </c>
    </row>
    <row r="9" ht="27" customHeight="1" s="9">
      <c r="A9" s="3" t="n">
        <v>7</v>
      </c>
      <c r="B9" s="10">
        <f>IFERROR(AVERAGE(F9,L9,I9),"")</f>
        <v/>
      </c>
      <c r="C9" s="11" t="n">
        <v>3</v>
      </c>
      <c r="D9" s="11" t="inlineStr">
        <is>
          <t>A</t>
        </is>
      </c>
      <c r="E9" s="5" t="inlineStr">
        <is>
          <t>A</t>
        </is>
      </c>
      <c r="F9" s="3" t="n">
        <v>0.411</v>
      </c>
      <c r="G9" s="4" t="inlineStr">
        <is>
          <t>N2a,N2b,Ha</t>
        </is>
      </c>
      <c r="H9" s="5" t="inlineStr">
        <is>
          <t>A</t>
        </is>
      </c>
      <c r="I9" s="3" t="n">
        <v>0.411</v>
      </c>
      <c r="J9" s="4" t="inlineStr">
        <is>
          <t>N2a,N2b,Ha</t>
        </is>
      </c>
      <c r="K9" s="5" t="inlineStr">
        <is>
          <t>A</t>
        </is>
      </c>
      <c r="L9" s="3" t="n">
        <v>0.4105</v>
      </c>
      <c r="M9" s="4" t="inlineStr">
        <is>
          <t>N2a,N2b,Ha</t>
        </is>
      </c>
      <c r="N9" s="6" t="n"/>
      <c r="P9" t="n">
        <v>42.182724</v>
      </c>
      <c r="Q9" t="n">
        <v>-3.4347805</v>
      </c>
      <c r="R9" t="n">
        <v>10.212</v>
      </c>
      <c r="S9" t="n">
        <v>0.028</v>
      </c>
      <c r="T9" t="n">
        <v>-0.01493683075853341</v>
      </c>
      <c r="U9" t="n">
        <v>-0.0207</v>
      </c>
      <c r="V9" t="n">
        <v>-0.0119</v>
      </c>
      <c r="W9" t="n">
        <v>0.0115</v>
      </c>
      <c r="X9" t="n">
        <v>0.005830717722452361</v>
      </c>
      <c r="Y9" t="n">
        <v>0.009900000000000001</v>
      </c>
      <c r="Z9" t="n">
        <v>-0.0106</v>
      </c>
      <c r="AA9" t="n">
        <v>0.0105</v>
      </c>
      <c r="AB9" t="n">
        <v>-0.06826450219045643</v>
      </c>
      <c r="AC9" t="n">
        <v>-0.0589</v>
      </c>
      <c r="AD9" t="n">
        <v>-0.012</v>
      </c>
      <c r="AE9" t="n">
        <v>0.0129</v>
      </c>
      <c r="AF9" t="n">
        <v>152.1503960338149</v>
      </c>
      <c r="AG9" t="n">
        <v>158.2946</v>
      </c>
      <c r="AH9" t="n">
        <v>-11.1903</v>
      </c>
      <c r="AI9" t="n">
        <v>14.0644</v>
      </c>
      <c r="AJ9" t="n">
        <v>0.9325112957369007</v>
      </c>
      <c r="AK9" t="n">
        <v>0.9342</v>
      </c>
      <c r="AL9" t="n">
        <v>-0.011</v>
      </c>
      <c r="AM9" t="n">
        <v>0.0113</v>
      </c>
      <c r="AN9" t="n">
        <v>0.8085802820374446</v>
      </c>
      <c r="AO9" t="n">
        <v>0.8159</v>
      </c>
      <c r="AP9" t="n">
        <v>-0.0121</v>
      </c>
      <c r="AQ9" t="n">
        <v>0.0126</v>
      </c>
      <c r="AR9" t="n">
        <v>5.644983020676866</v>
      </c>
      <c r="AS9" t="n">
        <v>5.6494</v>
      </c>
      <c r="AT9" t="n">
        <v>-0.0062</v>
      </c>
      <c r="AU9" t="n">
        <v>0.0061</v>
      </c>
      <c r="AV9" t="n">
        <v>-0.2620813426493771</v>
      </c>
      <c r="AW9" t="n">
        <v>-0.2611</v>
      </c>
      <c r="AX9" t="n">
        <v>-0.0111</v>
      </c>
      <c r="AY9" t="n">
        <v>0.011</v>
      </c>
      <c r="AZ9" t="n">
        <v>-0.2304306624952348</v>
      </c>
      <c r="BA9" t="n">
        <v>-0.2342</v>
      </c>
      <c r="BB9" t="n">
        <v>-0.0114</v>
      </c>
      <c r="BC9" t="n">
        <v>0.0105</v>
      </c>
      <c r="BD9" t="n">
        <v>0.1369519884489006</v>
      </c>
      <c r="BE9" t="n">
        <v>0.1691</v>
      </c>
      <c r="BF9" t="n">
        <v>-0.0384</v>
      </c>
      <c r="BG9" t="n">
        <v>0.0415</v>
      </c>
    </row>
    <row r="10" ht="27" customHeight="1" s="9">
      <c r="A10" s="3" t="n">
        <v>8</v>
      </c>
      <c r="B10" s="10">
        <f>IFERROR(AVERAGE(F10,L10,I10),"")</f>
        <v/>
      </c>
      <c r="C10" s="11" t="n">
        <v>3</v>
      </c>
      <c r="D10" s="11" t="inlineStr">
        <is>
          <t>A</t>
        </is>
      </c>
      <c r="E10" s="5" t="inlineStr">
        <is>
          <t>A</t>
        </is>
      </c>
      <c r="F10" s="3" t="n">
        <v>0.4915</v>
      </c>
      <c r="G10" s="4" t="inlineStr">
        <is>
          <t>Hb,O3a,O3b</t>
        </is>
      </c>
      <c r="H10" s="5" t="inlineStr">
        <is>
          <t>A</t>
        </is>
      </c>
      <c r="I10" s="3" t="n">
        <v>0.492</v>
      </c>
      <c r="J10" s="4" t="inlineStr">
        <is>
          <t>Hb,O3a,O3b</t>
        </is>
      </c>
      <c r="K10" s="5" t="inlineStr">
        <is>
          <t>A</t>
        </is>
      </c>
      <c r="L10" s="3" t="n">
        <v>0.492</v>
      </c>
      <c r="M10" s="4" t="inlineStr">
        <is>
          <t>Hb,O3a,O3b</t>
        </is>
      </c>
      <c r="N10" s="6" t="n"/>
      <c r="O10" s="4" t="inlineStr">
        <is>
          <t>O3a</t>
        </is>
      </c>
      <c r="P10" t="n">
        <v>42.21353</v>
      </c>
      <c r="Q10" t="n">
        <v>-3.4520444</v>
      </c>
      <c r="R10" t="n">
        <v>9.986000000000001</v>
      </c>
      <c r="S10" t="n">
        <v>0.042</v>
      </c>
      <c r="T10" t="n">
        <v>0.0327183090918457</v>
      </c>
      <c r="U10" t="n">
        <v>0.0327</v>
      </c>
      <c r="V10" t="n">
        <v>-0.0075</v>
      </c>
      <c r="W10" t="n">
        <v>0.007900000000000001</v>
      </c>
      <c r="X10" t="n">
        <v>0.07729945729432694</v>
      </c>
      <c r="Y10" t="n">
        <v>0.0756</v>
      </c>
      <c r="Z10" t="n">
        <v>-0.0073</v>
      </c>
      <c r="AA10" t="n">
        <v>0.0075</v>
      </c>
      <c r="AB10" t="n">
        <v>-1.942292343896645</v>
      </c>
      <c r="AC10" t="n">
        <v>-1.9761</v>
      </c>
      <c r="AD10" t="n">
        <v>-0.0617</v>
      </c>
      <c r="AE10" t="n">
        <v>0.0646</v>
      </c>
      <c r="AF10" t="n">
        <v>144.7207711849454</v>
      </c>
      <c r="AG10" t="n">
        <v>133.5956</v>
      </c>
      <c r="AH10" t="n">
        <v>-15.5772</v>
      </c>
      <c r="AI10" t="n">
        <v>18.7712</v>
      </c>
      <c r="AJ10" t="n">
        <v>0.9922862304213845</v>
      </c>
      <c r="AK10" t="n">
        <v>0.9893</v>
      </c>
      <c r="AL10" t="n">
        <v>-0.0036</v>
      </c>
      <c r="AM10" t="n">
        <v>0.0027</v>
      </c>
      <c r="AN10" t="n">
        <v>0.4570104110468707</v>
      </c>
      <c r="AO10" t="n">
        <v>0.4597</v>
      </c>
      <c r="AP10" t="n">
        <v>-0.0043</v>
      </c>
      <c r="AQ10" t="n">
        <v>0.0046</v>
      </c>
      <c r="AR10" t="n">
        <v>5.282001487071213</v>
      </c>
      <c r="AS10" t="n">
        <v>5.2822</v>
      </c>
      <c r="AT10" t="n">
        <v>-0.0032</v>
      </c>
      <c r="AU10" t="n">
        <v>0.0032</v>
      </c>
      <c r="AV10" t="n">
        <v>-0.1877989309386829</v>
      </c>
      <c r="AW10" t="n">
        <v>-0.1782</v>
      </c>
      <c r="AX10" t="n">
        <v>-0.0178</v>
      </c>
      <c r="AY10" t="n">
        <v>0.0183</v>
      </c>
      <c r="AZ10" t="n">
        <v>0.2577146593980886</v>
      </c>
      <c r="BA10" t="n">
        <v>0.2596</v>
      </c>
      <c r="BB10" t="n">
        <v>-0.0139</v>
      </c>
      <c r="BC10" t="n">
        <v>0.0127</v>
      </c>
      <c r="BD10" t="n">
        <v>0.02530029893399115</v>
      </c>
      <c r="BE10" t="n">
        <v>0.0895</v>
      </c>
      <c r="BF10" t="n">
        <v>-0.0547</v>
      </c>
      <c r="BG10" t="n">
        <v>0.0791</v>
      </c>
    </row>
    <row r="11" ht="27" customHeight="1" s="9">
      <c r="A11" s="3" t="n">
        <v>9</v>
      </c>
      <c r="B11" s="10">
        <f>IFERROR(AVERAGE(F11,L11,I11),"")</f>
        <v/>
      </c>
      <c r="C11" s="11" t="n"/>
      <c r="D11" s="11" t="inlineStr">
        <is>
          <t>E</t>
        </is>
      </c>
      <c r="E11" s="5" t="inlineStr">
        <is>
          <t>E (fc)</t>
        </is>
      </c>
      <c r="H11" s="5" t="inlineStr">
        <is>
          <t>E (fc)</t>
        </is>
      </c>
      <c r="I11" s="3" t="n"/>
      <c r="K11" s="5" t="inlineStr">
        <is>
          <t>E (fc)</t>
        </is>
      </c>
      <c r="N11" s="6" t="n"/>
      <c r="P11" t="n">
        <v>42.177915</v>
      </c>
      <c r="Q11" t="n">
        <v>-3.4385782</v>
      </c>
    </row>
    <row r="12" ht="27" customHeight="1" s="9">
      <c r="A12" s="3" t="n">
        <v>10</v>
      </c>
      <c r="B12" s="10">
        <f>IFERROR(AVERAGE(F12,L12,I12),"")</f>
        <v/>
      </c>
      <c r="C12" s="11" t="n">
        <v>3</v>
      </c>
      <c r="D12" s="11" t="inlineStr">
        <is>
          <t>A</t>
        </is>
      </c>
      <c r="E12" s="5" t="inlineStr">
        <is>
          <t>B (sky)</t>
        </is>
      </c>
      <c r="F12" s="3" t="n">
        <v>0.6685</v>
      </c>
      <c r="G12" s="4" t="inlineStr">
        <is>
          <t>Hb,O3a,O3b</t>
        </is>
      </c>
      <c r="H12" s="5" t="inlineStr">
        <is>
          <t>A</t>
        </is>
      </c>
      <c r="I12" s="3" t="n">
        <v>0.669</v>
      </c>
      <c r="J12" s="4" t="inlineStr">
        <is>
          <t>Hb,O3a,O3b</t>
        </is>
      </c>
      <c r="K12" s="5" t="inlineStr">
        <is>
          <t>A</t>
        </is>
      </c>
      <c r="L12" s="3" t="n">
        <v>0.67</v>
      </c>
      <c r="M12" s="4" t="inlineStr">
        <is>
          <t>Hb,O3a,O3b</t>
        </is>
      </c>
      <c r="N12" s="6" t="n"/>
      <c r="O12" s="4" t="inlineStr">
        <is>
          <t>O3a</t>
        </is>
      </c>
      <c r="P12" t="n">
        <v>42.216148</v>
      </c>
      <c r="Q12" t="n">
        <v>-3.461236</v>
      </c>
      <c r="R12" t="n">
        <v>9.515000000000001</v>
      </c>
      <c r="S12" t="n">
        <v>0.066</v>
      </c>
      <c r="T12" t="n">
        <v>0.1458308683162583</v>
      </c>
      <c r="U12" t="n">
        <v>0.0958</v>
      </c>
      <c r="V12" t="n">
        <v>0.054</v>
      </c>
      <c r="W12" t="n">
        <v>-0.0377</v>
      </c>
      <c r="X12" t="n">
        <v>0.1084138685937594</v>
      </c>
      <c r="Y12" t="n">
        <v>0.0564</v>
      </c>
      <c r="Z12" t="n">
        <v>-0.0584</v>
      </c>
      <c r="AA12" t="n">
        <v>0.0542</v>
      </c>
      <c r="AB12" t="n">
        <v>-1.19092367022183</v>
      </c>
      <c r="AC12" t="n">
        <v>-1.1882</v>
      </c>
      <c r="AD12" t="n">
        <v>-0.0387</v>
      </c>
      <c r="AE12" t="n">
        <v>0.0357</v>
      </c>
      <c r="AF12" t="n">
        <v>189.9565968037097</v>
      </c>
      <c r="AG12" t="n">
        <v>161.5062</v>
      </c>
      <c r="AH12" t="n">
        <v>-12.0271</v>
      </c>
      <c r="AI12" t="n">
        <v>11.6111</v>
      </c>
      <c r="AJ12" t="n">
        <v>0.2878184326207274</v>
      </c>
      <c r="AK12" t="n">
        <v>0.3323</v>
      </c>
      <c r="AL12" t="n">
        <v>-0.0387</v>
      </c>
      <c r="AM12" t="n">
        <v>0.0602</v>
      </c>
      <c r="AN12" t="n">
        <v>0.8028807188008609</v>
      </c>
      <c r="AO12" t="n">
        <v>0.7558</v>
      </c>
      <c r="AP12" t="n">
        <v>-0.053</v>
      </c>
      <c r="AQ12" t="n">
        <v>0.041</v>
      </c>
      <c r="AR12" t="n">
        <v>4.598147995706217</v>
      </c>
      <c r="AS12" t="n">
        <v>4.5988</v>
      </c>
      <c r="AT12" t="n">
        <v>-0.005</v>
      </c>
      <c r="AU12" t="n">
        <v>0.0049</v>
      </c>
      <c r="AV12" t="n">
        <v>-0.1401987343037729</v>
      </c>
      <c r="AW12" t="n">
        <v>-0.144</v>
      </c>
      <c r="AX12" t="n">
        <v>-0.0108</v>
      </c>
      <c r="AY12" t="n">
        <v>0.0113</v>
      </c>
      <c r="AZ12" t="n">
        <v>0.04190574497216759</v>
      </c>
      <c r="BA12" t="n">
        <v>0.043</v>
      </c>
      <c r="BB12" t="n">
        <v>-0.0068</v>
      </c>
      <c r="BC12" t="n">
        <v>0.0086</v>
      </c>
      <c r="BD12" t="n">
        <v>1.066395725954937</v>
      </c>
      <c r="BE12" t="n">
        <v>0.6711</v>
      </c>
      <c r="BF12" t="n">
        <v>-0.124</v>
      </c>
      <c r="BG12" t="n">
        <v>0.1326</v>
      </c>
    </row>
    <row r="13" ht="27" customHeight="1" s="9">
      <c r="A13" s="3" t="n">
        <v>11</v>
      </c>
      <c r="B13" s="10">
        <f>IFERROR(AVERAGE(F13,L13,I13),"")</f>
        <v/>
      </c>
      <c r="C13" s="11" t="n"/>
      <c r="D13" s="11" t="inlineStr">
        <is>
          <t>E</t>
        </is>
      </c>
      <c r="E13" s="5" t="inlineStr">
        <is>
          <t>E (fc)</t>
        </is>
      </c>
      <c r="H13" s="5" t="inlineStr">
        <is>
          <t>E (fc)</t>
        </is>
      </c>
      <c r="I13" s="3" t="n"/>
      <c r="K13" s="5" t="inlineStr">
        <is>
          <t>E (fc)</t>
        </is>
      </c>
      <c r="N13" s="6" t="n"/>
      <c r="P13" t="n">
        <v>42.215616</v>
      </c>
      <c r="Q13" t="n">
        <v>-3.4642511</v>
      </c>
    </row>
    <row r="14" ht="27" customHeight="1" s="9">
      <c r="A14" s="3" t="n">
        <v>12</v>
      </c>
      <c r="B14" s="10">
        <f>IFERROR(AVERAGE(F14,L14,I14),"")</f>
        <v/>
      </c>
      <c r="C14" s="11" t="n">
        <v>3</v>
      </c>
      <c r="D14" s="11" t="inlineStr">
        <is>
          <t>BS</t>
        </is>
      </c>
      <c r="E14" s="5" t="inlineStr">
        <is>
          <t>F (ns)</t>
        </is>
      </c>
      <c r="H14" s="5" t="inlineStr">
        <is>
          <t>B (sky)</t>
        </is>
      </c>
      <c r="I14" s="3" t="n">
        <v>0.479</v>
      </c>
      <c r="J14" s="4" t="inlineStr">
        <is>
          <t>Hb,O3a,O3b</t>
        </is>
      </c>
      <c r="K14" s="5" t="inlineStr">
        <is>
          <t>F (ns)</t>
        </is>
      </c>
      <c r="N14" s="6" t="n"/>
      <c r="O14" s="4" t="inlineStr">
        <is>
          <t>Hb,O3a,O3b</t>
        </is>
      </c>
      <c r="P14" t="n">
        <v>42.170616</v>
      </c>
      <c r="Q14" t="n">
        <v>-3.4479308</v>
      </c>
    </row>
    <row r="15" ht="27" customHeight="1" s="9">
      <c r="A15" s="3" t="n">
        <v>13</v>
      </c>
      <c r="B15" s="10">
        <f>IFERROR(AVERAGE(F15,L15,I15),"")</f>
        <v/>
      </c>
      <c r="C15" s="11" t="n">
        <v>3</v>
      </c>
      <c r="D15" s="11" t="inlineStr">
        <is>
          <t>BS</t>
        </is>
      </c>
      <c r="E15" s="5" t="inlineStr">
        <is>
          <t>E (fc)</t>
        </is>
      </c>
      <c r="H15" s="5" t="inlineStr">
        <is>
          <t>B (sky)</t>
        </is>
      </c>
      <c r="I15" s="3" t="n">
        <v>0.846</v>
      </c>
      <c r="J15" s="4" t="inlineStr">
        <is>
          <t>O3a,O3b</t>
        </is>
      </c>
      <c r="K15" s="5" t="inlineStr">
        <is>
          <t>D (gc)</t>
        </is>
      </c>
      <c r="N15" s="6" t="inlineStr">
        <is>
          <t>More than one target in this slit, other z=0.2955 (N II, H alpha, S II; 3)</t>
        </is>
      </c>
      <c r="O15" s="4" t="inlineStr">
        <is>
          <t>O3a</t>
        </is>
      </c>
      <c r="P15" t="n">
        <v>42.139709</v>
      </c>
      <c r="Q15" t="n">
        <v>-3.4376063</v>
      </c>
      <c r="R15" t="n">
        <v>9.521000000000001</v>
      </c>
      <c r="S15" t="n">
        <v>0.073</v>
      </c>
      <c r="T15" t="n">
        <v>-0.04610366158302996</v>
      </c>
      <c r="U15" t="n">
        <v>-0.0122</v>
      </c>
      <c r="V15" t="n">
        <v>-0.0279</v>
      </c>
      <c r="W15" t="n">
        <v>0.0307</v>
      </c>
      <c r="X15" t="n">
        <v>0.1146052439417116</v>
      </c>
      <c r="Y15" t="n">
        <v>0.132</v>
      </c>
      <c r="Z15" t="n">
        <v>0.0186</v>
      </c>
      <c r="AA15" t="n">
        <v>-0.0125</v>
      </c>
      <c r="AB15" t="n">
        <v>1.952023832350865</v>
      </c>
      <c r="AC15" t="n">
        <v>1.9163</v>
      </c>
      <c r="AD15" t="n">
        <v>-0.0565</v>
      </c>
      <c r="AE15" t="n">
        <v>0.0543</v>
      </c>
      <c r="AF15" t="n">
        <v>141.2265076300717</v>
      </c>
      <c r="AG15" t="n">
        <v>121.2298</v>
      </c>
      <c r="AH15" t="n">
        <v>-11.2821</v>
      </c>
      <c r="AI15" t="n">
        <v>13.3211</v>
      </c>
      <c r="AJ15" t="n">
        <v>0.8411030243951521</v>
      </c>
      <c r="AK15" t="n">
        <v>0.7991</v>
      </c>
      <c r="AL15" t="n">
        <v>-0.0465</v>
      </c>
      <c r="AM15" t="n">
        <v>0.0446</v>
      </c>
      <c r="AN15" t="n">
        <v>0.7382977898949137</v>
      </c>
      <c r="AO15" t="n">
        <v>0.7547</v>
      </c>
      <c r="AP15" t="n">
        <v>-0.029</v>
      </c>
      <c r="AQ15" t="n">
        <v>0.0334</v>
      </c>
      <c r="AR15" t="n">
        <v>4.699383549407885</v>
      </c>
      <c r="AS15" t="n">
        <v>4.6987</v>
      </c>
      <c r="AT15" t="n">
        <v>-0.0114</v>
      </c>
      <c r="AU15" t="n">
        <v>0.0124</v>
      </c>
      <c r="AV15" t="n">
        <v>0.3091531205450142</v>
      </c>
      <c r="AW15" t="n">
        <v>0.3156</v>
      </c>
      <c r="AX15" t="n">
        <v>-0.0194</v>
      </c>
      <c r="AY15" t="n">
        <v>0.0212</v>
      </c>
      <c r="AZ15" t="n">
        <v>-0.07074719099340676</v>
      </c>
      <c r="BA15" t="n">
        <v>-0.08459999999999999</v>
      </c>
      <c r="BB15" t="n">
        <v>-0.0213</v>
      </c>
      <c r="BC15" t="n">
        <v>0.0217</v>
      </c>
      <c r="BD15" t="n">
        <v>0.2627765704179207</v>
      </c>
      <c r="BE15" t="n">
        <v>0.2312</v>
      </c>
      <c r="BF15" t="n">
        <v>-0.0677</v>
      </c>
      <c r="BG15" t="n">
        <v>0.0858</v>
      </c>
    </row>
    <row r="16" ht="27" customHeight="1" s="9">
      <c r="A16" s="3" t="n">
        <v>14</v>
      </c>
      <c r="B16" s="10">
        <f>IFERROR(AVERAGE(F16,L16,I16),"")</f>
        <v/>
      </c>
      <c r="C16" s="11" t="n">
        <v>3</v>
      </c>
      <c r="D16" s="11" t="inlineStr">
        <is>
          <t>B</t>
        </is>
      </c>
      <c r="E16" s="5" t="inlineStr">
        <is>
          <t>B (sky)</t>
        </is>
      </c>
      <c r="F16" s="3" t="n">
        <v>0.584</v>
      </c>
      <c r="G16" s="4" t="inlineStr">
        <is>
          <t>O3b</t>
        </is>
      </c>
      <c r="H16" s="5" t="inlineStr">
        <is>
          <t>B (sky)</t>
        </is>
      </c>
      <c r="I16" s="3" t="n">
        <v>0.583</v>
      </c>
      <c r="J16" s="4" t="inlineStr">
        <is>
          <t>Hb,O3a,O3b</t>
        </is>
      </c>
      <c r="K16" s="5" t="inlineStr">
        <is>
          <t>B (sky)</t>
        </is>
      </c>
      <c r="L16" s="3" t="n">
        <v>0.584</v>
      </c>
      <c r="M16" s="4" t="inlineStr">
        <is>
          <t>Hb,O3b</t>
        </is>
      </c>
      <c r="N16" s="6" t="n"/>
      <c r="O16" s="4" t="inlineStr">
        <is>
          <t>O3a</t>
        </is>
      </c>
      <c r="P16" t="n">
        <v>42.17938</v>
      </c>
      <c r="Q16" t="n">
        <v>-3.4590941</v>
      </c>
      <c r="R16" t="n">
        <v>9.323</v>
      </c>
      <c r="S16" t="n">
        <v>0.091</v>
      </c>
      <c r="T16" t="n">
        <v>0.1112999577983102</v>
      </c>
      <c r="U16" t="n">
        <v>0.1076</v>
      </c>
      <c r="V16" t="n">
        <v>-0.0212</v>
      </c>
      <c r="W16" t="n">
        <v>0.0216</v>
      </c>
      <c r="X16" t="n">
        <v>0.1359151432707397</v>
      </c>
      <c r="Y16" t="n">
        <v>0.1322</v>
      </c>
      <c r="Z16" t="n">
        <v>0.0185</v>
      </c>
      <c r="AA16" t="n">
        <v>-0.0124</v>
      </c>
      <c r="AB16" t="n">
        <v>2.003676315831411</v>
      </c>
      <c r="AC16" t="n">
        <v>2.0301</v>
      </c>
      <c r="AD16" t="n">
        <v>-0.0767</v>
      </c>
      <c r="AE16" t="n">
        <v>0.0751</v>
      </c>
      <c r="AF16" t="n">
        <v>119.3300478212915</v>
      </c>
      <c r="AG16" t="n">
        <v>101.2538</v>
      </c>
      <c r="AH16" t="n">
        <v>-12.3358</v>
      </c>
      <c r="AI16" t="n">
        <v>13.3264</v>
      </c>
      <c r="AJ16" t="n">
        <v>0.8822126790191641</v>
      </c>
      <c r="AK16" t="n">
        <v>0.8581</v>
      </c>
      <c r="AL16" t="n">
        <v>-0.0388</v>
      </c>
      <c r="AM16" t="n">
        <v>0.0372</v>
      </c>
      <c r="AN16" t="n">
        <v>0.6941507980020165</v>
      </c>
      <c r="AO16" t="n">
        <v>0.6968</v>
      </c>
      <c r="AP16" t="n">
        <v>-0.0201</v>
      </c>
      <c r="AQ16" t="n">
        <v>0.0218</v>
      </c>
      <c r="AR16" t="n">
        <v>4.577557293700816</v>
      </c>
      <c r="AS16" t="n">
        <v>4.5722</v>
      </c>
      <c r="AT16" t="n">
        <v>-0.008399999999999999</v>
      </c>
      <c r="AU16" t="n">
        <v>0.0083</v>
      </c>
      <c r="AV16" t="n">
        <v>-0.03287846499539304</v>
      </c>
      <c r="AW16" t="n">
        <v>-0.0281</v>
      </c>
      <c r="AX16" t="n">
        <v>-0.0149</v>
      </c>
      <c r="AY16" t="n">
        <v>0.0164</v>
      </c>
      <c r="AZ16" t="n">
        <v>0.0489916336034697</v>
      </c>
      <c r="BA16" t="n">
        <v>0.0461</v>
      </c>
      <c r="BB16" t="n">
        <v>-0.0122</v>
      </c>
      <c r="BC16" t="n">
        <v>0.0124</v>
      </c>
      <c r="BD16" t="n">
        <v>1.054029595436861</v>
      </c>
      <c r="BE16" t="n">
        <v>0.8927</v>
      </c>
      <c r="BF16" t="n">
        <v>-0.2292</v>
      </c>
      <c r="BG16" t="n">
        <v>0.2672</v>
      </c>
    </row>
    <row r="17" ht="27" customHeight="1" s="9">
      <c r="A17" s="3" t="n">
        <v>15</v>
      </c>
      <c r="B17" s="10">
        <f>IFERROR(AVERAGE(F17,L17,I17),"")</f>
        <v/>
      </c>
      <c r="C17" s="11" t="n">
        <v>2</v>
      </c>
      <c r="D17" s="11" t="inlineStr">
        <is>
          <t>B</t>
        </is>
      </c>
      <c r="E17" s="5" t="inlineStr">
        <is>
          <t>B (sky)</t>
        </is>
      </c>
      <c r="F17" s="3" t="n">
        <v>1.401</v>
      </c>
      <c r="G17" s="4" t="inlineStr">
        <is>
          <t>O2</t>
        </is>
      </c>
      <c r="H17" s="5" t="inlineStr">
        <is>
          <t>B (sky)</t>
        </is>
      </c>
      <c r="I17" s="3" t="n">
        <v>1.399</v>
      </c>
      <c r="J17" s="4" t="inlineStr">
        <is>
          <t>O2</t>
        </is>
      </c>
      <c r="K17" s="5" t="inlineStr">
        <is>
          <t>B (sky)</t>
        </is>
      </c>
      <c r="L17" s="3" t="n">
        <v>1.4</v>
      </c>
      <c r="M17" s="4" t="inlineStr">
        <is>
          <t>O2</t>
        </is>
      </c>
      <c r="N17" s="6" t="inlineStr">
        <is>
          <t>Very extended line, 8 Angstrom</t>
        </is>
      </c>
      <c r="P17" t="n">
        <v>42.177477</v>
      </c>
      <c r="Q17" t="n">
        <v>-3.461241</v>
      </c>
      <c r="R17" t="n">
        <v>9.577999999999999</v>
      </c>
      <c r="S17" t="n">
        <v>0.12</v>
      </c>
    </row>
    <row r="18" ht="27" customHeight="1" s="9">
      <c r="A18" s="3" t="n">
        <v>16</v>
      </c>
      <c r="B18" s="10">
        <f>IFERROR(AVERAGE(F18,L18,I18),"")</f>
        <v/>
      </c>
      <c r="C18" s="11" t="n">
        <v>3</v>
      </c>
      <c r="D18" s="11" t="inlineStr">
        <is>
          <t>B</t>
        </is>
      </c>
      <c r="E18" s="5" t="inlineStr">
        <is>
          <t>B (sky)</t>
        </is>
      </c>
      <c r="F18" s="3" t="n">
        <v>0.6820000000000001</v>
      </c>
      <c r="G18" s="4" t="inlineStr">
        <is>
          <t>O3b</t>
        </is>
      </c>
      <c r="H18" s="5" t="inlineStr">
        <is>
          <t>B (sky)</t>
        </is>
      </c>
      <c r="I18" s="3" t="n">
        <v>0.6820000000000001</v>
      </c>
      <c r="J18" s="4" t="inlineStr">
        <is>
          <t>Hb,O3b</t>
        </is>
      </c>
      <c r="K18" s="5" t="inlineStr">
        <is>
          <t>B (sky)</t>
        </is>
      </c>
      <c r="L18" s="3" t="n">
        <v>0.6820000000000001</v>
      </c>
      <c r="M18" s="4" t="inlineStr">
        <is>
          <t>O3b</t>
        </is>
      </c>
      <c r="N18" s="6" t="n"/>
      <c r="O18" s="4" t="inlineStr">
        <is>
          <t>Hb</t>
        </is>
      </c>
      <c r="P18" t="n">
        <v>42.139733</v>
      </c>
      <c r="Q18" t="n">
        <v>-3.4466916</v>
      </c>
      <c r="R18" t="n">
        <v>9.586</v>
      </c>
      <c r="S18" t="n">
        <v>0.046</v>
      </c>
      <c r="T18" t="n">
        <v>0.1120839832146045</v>
      </c>
      <c r="U18" t="n">
        <v>0.1281</v>
      </c>
      <c r="V18" t="n">
        <v>0.027</v>
      </c>
      <c r="W18" t="n">
        <v>-0.0161</v>
      </c>
      <c r="X18" t="n">
        <v>0.05090108083726153</v>
      </c>
      <c r="Y18" t="n">
        <v>0.0687</v>
      </c>
      <c r="Z18" t="n">
        <v>0.0725</v>
      </c>
      <c r="AA18" t="n">
        <v>-0.0549</v>
      </c>
      <c r="AB18" t="n">
        <v>0.7551780259908161</v>
      </c>
      <c r="AC18" t="n">
        <v>0.772</v>
      </c>
      <c r="AD18" t="n">
        <v>-0.0347</v>
      </c>
      <c r="AE18" t="n">
        <v>0.0263</v>
      </c>
      <c r="AF18" t="n">
        <v>277.6950312118627</v>
      </c>
      <c r="AG18" t="n">
        <v>219.4353</v>
      </c>
      <c r="AH18" t="n">
        <v>-11.5689</v>
      </c>
      <c r="AI18" t="n">
        <v>11.8821</v>
      </c>
      <c r="AJ18" t="n">
        <v>0.2946357537351358</v>
      </c>
      <c r="AK18" t="n">
        <v>0.3035</v>
      </c>
      <c r="AL18" t="n">
        <v>-0.0514</v>
      </c>
      <c r="AM18" t="n">
        <v>0.0412</v>
      </c>
      <c r="AN18" t="n">
        <v>1.21940973156508</v>
      </c>
      <c r="AO18" t="n">
        <v>1.1976</v>
      </c>
      <c r="AP18" t="n">
        <v>-0.0654</v>
      </c>
      <c r="AQ18" t="n">
        <v>0.0898</v>
      </c>
      <c r="AR18" t="n">
        <v>4.571173235042247</v>
      </c>
      <c r="AS18" t="n">
        <v>4.5658</v>
      </c>
      <c r="AT18" t="n">
        <v>-0.008699999999999999</v>
      </c>
      <c r="AU18" t="n">
        <v>0.0089</v>
      </c>
      <c r="AV18" t="n">
        <v>-0.1157381853703927</v>
      </c>
      <c r="AW18" t="n">
        <v>-0.1337</v>
      </c>
      <c r="AX18" t="n">
        <v>-0.0154</v>
      </c>
      <c r="AY18" t="n">
        <v>0.0149</v>
      </c>
      <c r="AZ18" t="n">
        <v>-0.06890318857508571</v>
      </c>
      <c r="BA18" t="n">
        <v>-0.0678</v>
      </c>
      <c r="BB18" t="n">
        <v>-0.0105</v>
      </c>
      <c r="BC18" t="n">
        <v>0.0104</v>
      </c>
      <c r="BD18" t="n">
        <v>1.299190088153233</v>
      </c>
      <c r="BE18" t="n">
        <v>0.8254</v>
      </c>
      <c r="BF18" t="n">
        <v>-0.115</v>
      </c>
      <c r="BG18" t="n">
        <v>0.1293</v>
      </c>
    </row>
    <row r="19" ht="27" customHeight="1" s="9">
      <c r="A19" s="3" t="n">
        <v>17</v>
      </c>
      <c r="B19" s="10">
        <f>IFERROR(AVERAGE(F19,L19,I19),"")</f>
        <v/>
      </c>
      <c r="C19" s="11" t="n">
        <v>3</v>
      </c>
      <c r="D19" s="11" t="inlineStr">
        <is>
          <t>AS</t>
        </is>
      </c>
      <c r="E19" s="5" t="inlineStr">
        <is>
          <t>F (ns)</t>
        </is>
      </c>
      <c r="H19" s="5" t="inlineStr">
        <is>
          <t>F (ns)</t>
        </is>
      </c>
      <c r="I19" s="3" t="n"/>
      <c r="K19" s="5" t="inlineStr">
        <is>
          <t>A</t>
        </is>
      </c>
      <c r="L19" s="3" t="n">
        <v>0.612</v>
      </c>
      <c r="M19" s="4" t="inlineStr">
        <is>
          <t>Hb,O3a,O3b</t>
        </is>
      </c>
      <c r="N19" s="6" t="n"/>
      <c r="O19" s="4" t="inlineStr">
        <is>
          <t>O3a,Hb</t>
        </is>
      </c>
      <c r="P19" t="n">
        <v>42.172676</v>
      </c>
      <c r="Q19" t="n">
        <v>-3.4662291</v>
      </c>
      <c r="R19" t="n">
        <v>9.566000000000001</v>
      </c>
      <c r="S19" t="n">
        <v>0.09</v>
      </c>
      <c r="T19" t="n">
        <v>0.1496695362723528</v>
      </c>
      <c r="U19" t="n">
        <v>0.1288</v>
      </c>
      <c r="V19" t="n">
        <v>0.0314</v>
      </c>
      <c r="W19" t="n">
        <v>-0.0157</v>
      </c>
      <c r="X19" t="n">
        <v>0.1127822636946839</v>
      </c>
      <c r="Y19" t="n">
        <v>0.1101</v>
      </c>
      <c r="Z19" t="n">
        <v>0.0344</v>
      </c>
      <c r="AA19" t="n">
        <v>-0.0263</v>
      </c>
      <c r="AB19" t="n">
        <v>2.766073054527558</v>
      </c>
      <c r="AC19" t="n">
        <v>2.8305</v>
      </c>
      <c r="AD19" t="n">
        <v>-0.0738</v>
      </c>
      <c r="AE19" t="n">
        <v>0.0844</v>
      </c>
      <c r="AF19" t="n">
        <v>81.55189029965368</v>
      </c>
      <c r="AG19" t="n">
        <v>99.10380000000001</v>
      </c>
      <c r="AH19" t="n">
        <v>-12.1506</v>
      </c>
      <c r="AI19" t="n">
        <v>13.8719</v>
      </c>
      <c r="AJ19" t="n">
        <v>0.7103296128458252</v>
      </c>
      <c r="AK19" t="n">
        <v>0.6697</v>
      </c>
      <c r="AL19" t="n">
        <v>-0.046</v>
      </c>
      <c r="AM19" t="n">
        <v>0.0466</v>
      </c>
      <c r="AN19" t="n">
        <v>0.8440584615942055</v>
      </c>
      <c r="AO19" t="n">
        <v>0.8604000000000001</v>
      </c>
      <c r="AP19" t="n">
        <v>-0.0309</v>
      </c>
      <c r="AQ19" t="n">
        <v>0.0336</v>
      </c>
      <c r="AR19" t="n">
        <v>4.611696205380176</v>
      </c>
      <c r="AS19" t="n">
        <v>4.6113</v>
      </c>
      <c r="AT19" t="n">
        <v>-0.008800000000000001</v>
      </c>
      <c r="AU19" t="n">
        <v>0.008699999999999999</v>
      </c>
      <c r="AV19" t="n">
        <v>0.1989407448453273</v>
      </c>
      <c r="AW19" t="n">
        <v>0.1838</v>
      </c>
      <c r="AX19" t="n">
        <v>-0.0246</v>
      </c>
      <c r="AY19" t="n">
        <v>0.0221</v>
      </c>
      <c r="AZ19" t="n">
        <v>0.1824143107509282</v>
      </c>
      <c r="BA19" t="n">
        <v>0.1827</v>
      </c>
      <c r="BB19" t="n">
        <v>-0.0182</v>
      </c>
      <c r="BC19" t="n">
        <v>0.0201</v>
      </c>
      <c r="BD19" t="n">
        <v>3.683196001561845</v>
      </c>
      <c r="BE19" t="n">
        <v>3.5355</v>
      </c>
      <c r="BF19" t="n">
        <v>-0.5345</v>
      </c>
      <c r="BG19" t="n">
        <v>0.3253</v>
      </c>
    </row>
    <row r="20" ht="27" customHeight="1" s="9">
      <c r="A20" s="3" t="n">
        <v>18</v>
      </c>
      <c r="B20" s="10">
        <f>IFERROR(AVERAGE(F20,L20,I20),"")</f>
        <v/>
      </c>
      <c r="C20" s="11" t="n">
        <v>3</v>
      </c>
      <c r="D20" s="11" t="inlineStr">
        <is>
          <t>A</t>
        </is>
      </c>
      <c r="E20" s="5" t="inlineStr">
        <is>
          <t>F (ns)</t>
        </is>
      </c>
      <c r="H20" s="5" t="inlineStr">
        <is>
          <t>A</t>
        </is>
      </c>
      <c r="I20" s="3" t="n">
        <v>0.847</v>
      </c>
      <c r="J20" s="4" t="inlineStr">
        <is>
          <t>Hb,O3b</t>
        </is>
      </c>
      <c r="K20" s="5" t="inlineStr">
        <is>
          <t>A</t>
        </is>
      </c>
      <c r="L20" s="3" t="n">
        <v>0.847</v>
      </c>
      <c r="M20" s="4" t="inlineStr">
        <is>
          <t>O3b</t>
        </is>
      </c>
      <c r="N20" s="6" t="n"/>
      <c r="P20" t="n">
        <v>42.128581</v>
      </c>
      <c r="Q20" t="n">
        <v>-3.4493951</v>
      </c>
      <c r="R20" t="n">
        <v>10.016</v>
      </c>
      <c r="S20" t="n">
        <v>0.051</v>
      </c>
      <c r="T20" t="n">
        <v>-0.138752559288651</v>
      </c>
      <c r="U20" t="n">
        <v>-0.1227</v>
      </c>
      <c r="V20" t="n">
        <v>0.0197</v>
      </c>
      <c r="W20" t="n">
        <v>-0.0316</v>
      </c>
      <c r="X20" t="n">
        <v>0.1143409742751776</v>
      </c>
      <c r="Y20" t="n">
        <v>0.0553</v>
      </c>
      <c r="Z20" t="n">
        <v>-0.0639</v>
      </c>
      <c r="AA20" t="n">
        <v>0.06</v>
      </c>
      <c r="AB20" t="n">
        <v>-0.6751910096187492</v>
      </c>
      <c r="AC20" t="n">
        <v>-0.6912</v>
      </c>
      <c r="AD20" t="n">
        <v>-0.0743</v>
      </c>
      <c r="AE20" t="n">
        <v>0.0529</v>
      </c>
      <c r="AF20" t="n">
        <v>212.878541594021</v>
      </c>
      <c r="AG20" t="n">
        <v>164.6778</v>
      </c>
      <c r="AH20" t="n">
        <v>-20.0661</v>
      </c>
      <c r="AI20" t="n">
        <v>19.7947</v>
      </c>
      <c r="AJ20" t="n">
        <v>0.5755965489275052</v>
      </c>
      <c r="AK20" t="n">
        <v>0.6281</v>
      </c>
      <c r="AL20" t="n">
        <v>-0.0725</v>
      </c>
      <c r="AM20" t="n">
        <v>0.0888</v>
      </c>
      <c r="AN20" t="n">
        <v>0.6737245079523291</v>
      </c>
      <c r="AO20" t="n">
        <v>0.6463</v>
      </c>
      <c r="AP20" t="n">
        <v>-0.0402</v>
      </c>
      <c r="AQ20" t="n">
        <v>0.0398</v>
      </c>
      <c r="AR20" t="n">
        <v>4.651644614109405</v>
      </c>
      <c r="AS20" t="n">
        <v>4.6567</v>
      </c>
      <c r="AT20" t="n">
        <v>-0.0053</v>
      </c>
      <c r="AU20" t="n">
        <v>0.0053</v>
      </c>
      <c r="AV20" t="n">
        <v>-0.5132767805246692</v>
      </c>
      <c r="AW20" t="n">
        <v>-0.5023</v>
      </c>
      <c r="AX20" t="n">
        <v>-0.0138</v>
      </c>
      <c r="AY20" t="n">
        <v>0.0144</v>
      </c>
      <c r="AZ20" t="n">
        <v>-0.0396126926631386</v>
      </c>
      <c r="BA20" t="n">
        <v>-0.035</v>
      </c>
      <c r="BB20" t="n">
        <v>-0.0256</v>
      </c>
      <c r="BC20" t="n">
        <v>0.0244</v>
      </c>
      <c r="BD20" t="n">
        <v>1.576320100808682</v>
      </c>
      <c r="BE20" t="n">
        <v>1.1445</v>
      </c>
      <c r="BF20" t="n">
        <v>-0.2641</v>
      </c>
      <c r="BG20" t="n">
        <v>0.3169</v>
      </c>
    </row>
    <row r="21" ht="27" customHeight="1" s="9">
      <c r="A21" s="3" t="n">
        <v>19</v>
      </c>
      <c r="B21" s="10">
        <f>IFERROR(AVERAGE(F21,L21,I21),"")</f>
        <v/>
      </c>
      <c r="C21" s="11" t="n">
        <v>3</v>
      </c>
      <c r="D21" s="11" t="inlineStr">
        <is>
          <t>A</t>
        </is>
      </c>
      <c r="E21" s="5" t="inlineStr">
        <is>
          <t>A</t>
        </is>
      </c>
      <c r="F21" s="3" t="n">
        <v>0.633</v>
      </c>
      <c r="G21" s="4" t="inlineStr">
        <is>
          <t>O3b</t>
        </is>
      </c>
      <c r="H21" s="5" t="inlineStr">
        <is>
          <t>A</t>
        </is>
      </c>
      <c r="I21" s="3" t="n">
        <v>0.633</v>
      </c>
      <c r="J21" s="4" t="inlineStr">
        <is>
          <t>Hb,O3b</t>
        </is>
      </c>
      <c r="K21" s="5" t="inlineStr">
        <is>
          <t>E (fc)</t>
        </is>
      </c>
      <c r="N21" s="6" t="n"/>
      <c r="O21" s="4" t="inlineStr">
        <is>
          <t>Hb</t>
        </is>
      </c>
      <c r="P21" t="n">
        <v>42.132376</v>
      </c>
      <c r="Q21" t="n">
        <v>-3.4546561</v>
      </c>
      <c r="R21" t="n">
        <v>9.305999999999999</v>
      </c>
      <c r="S21" t="n">
        <v>0.063</v>
      </c>
      <c r="T21" t="n">
        <v>0.02834090414472987</v>
      </c>
      <c r="U21" t="n">
        <v>-0.0146</v>
      </c>
      <c r="V21" t="n">
        <v>-0.0329</v>
      </c>
      <c r="W21" t="n">
        <v>0.0406</v>
      </c>
      <c r="X21" t="n">
        <v>0.1423001674134266</v>
      </c>
      <c r="Y21" t="n">
        <v>0.1142</v>
      </c>
      <c r="Z21" t="n">
        <v>0.0378</v>
      </c>
      <c r="AA21" t="n">
        <v>-0.0249</v>
      </c>
      <c r="AB21" t="n">
        <v>2.049125809378074</v>
      </c>
      <c r="AC21" t="n">
        <v>2.0683</v>
      </c>
      <c r="AD21" t="n">
        <v>-0.0449</v>
      </c>
      <c r="AE21" t="n">
        <v>0.0428</v>
      </c>
      <c r="AF21" t="n">
        <v>175.4198560757082</v>
      </c>
      <c r="AG21" t="n">
        <v>129.8252</v>
      </c>
      <c r="AH21" t="n">
        <v>-12.3267</v>
      </c>
      <c r="AI21" t="n">
        <v>12.049</v>
      </c>
      <c r="AJ21" t="n">
        <v>0.4909431218324604</v>
      </c>
      <c r="AK21" t="n">
        <v>0.5452</v>
      </c>
      <c r="AL21" t="n">
        <v>-0.044</v>
      </c>
      <c r="AM21" t="n">
        <v>0.0553</v>
      </c>
      <c r="AN21" t="n">
        <v>0.6442107505882876</v>
      </c>
      <c r="AO21" t="n">
        <v>0.6274</v>
      </c>
      <c r="AP21" t="n">
        <v>-0.0286</v>
      </c>
      <c r="AQ21" t="n">
        <v>0.0262</v>
      </c>
      <c r="AR21" t="n">
        <v>4.450116468413846</v>
      </c>
      <c r="AS21" t="n">
        <v>4.4556</v>
      </c>
      <c r="AT21" t="n">
        <v>-0.0064</v>
      </c>
      <c r="AU21" t="n">
        <v>0.0061</v>
      </c>
      <c r="AV21" t="n">
        <v>0.1476718600564817</v>
      </c>
      <c r="AW21" t="n">
        <v>0.1356</v>
      </c>
      <c r="AX21" t="n">
        <v>-0.0158</v>
      </c>
      <c r="AY21" t="n">
        <v>0.0163</v>
      </c>
      <c r="AZ21" t="n">
        <v>-0.1350798708403889</v>
      </c>
      <c r="BA21" t="n">
        <v>-0.139</v>
      </c>
      <c r="BB21" t="n">
        <v>-0.015</v>
      </c>
      <c r="BC21" t="n">
        <v>0.012</v>
      </c>
      <c r="BD21" t="n">
        <v>1.464374357592819</v>
      </c>
      <c r="BE21" t="n">
        <v>0.8333</v>
      </c>
      <c r="BF21" t="n">
        <v>-0.15</v>
      </c>
      <c r="BG21" t="n">
        <v>0.1664</v>
      </c>
    </row>
    <row r="22" ht="27" customHeight="1" s="9">
      <c r="A22" s="3" t="n">
        <v>20</v>
      </c>
      <c r="B22" s="10">
        <f>IFERROR(AVERAGE(F22,L22,I22),"")</f>
        <v/>
      </c>
      <c r="C22" s="11" t="n">
        <v>3</v>
      </c>
      <c r="D22" s="11" t="inlineStr">
        <is>
          <t>A</t>
        </is>
      </c>
      <c r="E22" s="5" t="inlineStr">
        <is>
          <t>F (ns)</t>
        </is>
      </c>
      <c r="H22" s="5" t="inlineStr">
        <is>
          <t>A</t>
        </is>
      </c>
      <c r="I22" s="3" t="n">
        <v>0.474</v>
      </c>
      <c r="J22" s="4" t="inlineStr">
        <is>
          <t>Hb,O3b</t>
        </is>
      </c>
      <c r="K22" s="5" t="inlineStr">
        <is>
          <t>A</t>
        </is>
      </c>
      <c r="L22" s="3" t="n">
        <v>0.474</v>
      </c>
      <c r="M22" s="4" t="inlineStr">
        <is>
          <t>O3b</t>
        </is>
      </c>
      <c r="N22" s="6" t="n"/>
      <c r="P22" t="n">
        <v>42.195257</v>
      </c>
      <c r="Q22" t="n">
        <v>-3.4888567</v>
      </c>
      <c r="R22" t="n">
        <v>8.656000000000001</v>
      </c>
      <c r="S22" t="n">
        <v>0.056</v>
      </c>
      <c r="T22" t="n">
        <v>-0.09158955745242864</v>
      </c>
      <c r="U22" t="n">
        <v>-0.0225</v>
      </c>
      <c r="V22" t="n">
        <v>0.0825</v>
      </c>
      <c r="W22" t="n">
        <v>-0.09520000000000001</v>
      </c>
      <c r="X22" t="n">
        <v>0.1492722262218627</v>
      </c>
      <c r="Y22" t="n">
        <v>0.1236</v>
      </c>
      <c r="Z22" t="n">
        <v>0.0387</v>
      </c>
      <c r="AA22" t="n">
        <v>-0.0197</v>
      </c>
      <c r="AB22" t="n">
        <v>1.376289876221644</v>
      </c>
      <c r="AC22" t="n">
        <v>1.3952</v>
      </c>
      <c r="AD22" t="n">
        <v>-0.081</v>
      </c>
      <c r="AE22" t="n">
        <v>0.0703</v>
      </c>
      <c r="AF22" t="n">
        <v>48.48901428672562</v>
      </c>
      <c r="AG22" t="n">
        <v>53.8929</v>
      </c>
      <c r="AH22" t="n">
        <v>-4.6366</v>
      </c>
      <c r="AI22" t="n">
        <v>5.396</v>
      </c>
      <c r="AJ22" t="n">
        <v>0.5782560986964844</v>
      </c>
      <c r="AK22" t="n">
        <v>0.4728</v>
      </c>
      <c r="AL22" t="n">
        <v>-0.1052</v>
      </c>
      <c r="AM22" t="n">
        <v>0.1139</v>
      </c>
      <c r="AN22" t="n">
        <v>0.2369375746528281</v>
      </c>
      <c r="AO22" t="n">
        <v>0.2508</v>
      </c>
      <c r="AP22" t="n">
        <v>-0.0204</v>
      </c>
      <c r="AQ22" t="n">
        <v>0.0273</v>
      </c>
      <c r="AR22" t="n">
        <v>4.319340222660305</v>
      </c>
      <c r="AS22" t="n">
        <v>4.3175</v>
      </c>
      <c r="AT22" t="n">
        <v>-0.0064</v>
      </c>
      <c r="AU22" t="n">
        <v>0.0063</v>
      </c>
      <c r="AV22" t="n">
        <v>0.2742569796000169</v>
      </c>
      <c r="AW22" t="n">
        <v>0.2791</v>
      </c>
      <c r="AX22" t="n">
        <v>-0.0818</v>
      </c>
      <c r="AY22" t="n">
        <v>0.0644</v>
      </c>
      <c r="AZ22" t="n">
        <v>-0.7978600340391588</v>
      </c>
      <c r="BA22" t="n">
        <v>-0.6879</v>
      </c>
      <c r="BB22" t="n">
        <v>-0.124</v>
      </c>
      <c r="BC22" t="n">
        <v>0.1232</v>
      </c>
      <c r="BD22" t="n">
        <v>0.02367648058287328</v>
      </c>
      <c r="BE22" t="n">
        <v>0.1211</v>
      </c>
      <c r="BF22" t="n">
        <v>-0.0769</v>
      </c>
      <c r="BG22" t="n">
        <v>0.113</v>
      </c>
    </row>
    <row r="23" ht="27" customHeight="1" s="9">
      <c r="A23" s="3" t="n">
        <v>21</v>
      </c>
      <c r="B23" s="10">
        <f>IFERROR(AVERAGE(F23,L23,I23),"")</f>
        <v/>
      </c>
      <c r="C23" s="11" t="n">
        <v>3</v>
      </c>
      <c r="D23" s="11" t="inlineStr">
        <is>
          <t>A</t>
        </is>
      </c>
      <c r="E23" s="5" t="inlineStr">
        <is>
          <t>A</t>
        </is>
      </c>
      <c r="F23" s="3" t="n">
        <v>0.903</v>
      </c>
      <c r="G23" s="4" t="inlineStr">
        <is>
          <t>O2</t>
        </is>
      </c>
      <c r="H23" s="5" t="inlineStr">
        <is>
          <t>A</t>
        </is>
      </c>
      <c r="I23" s="3" t="n">
        <v>0.902</v>
      </c>
      <c r="J23" s="4" t="inlineStr">
        <is>
          <t>O2,Hb</t>
        </is>
      </c>
      <c r="K23" s="5" t="inlineStr">
        <is>
          <t>A</t>
        </is>
      </c>
      <c r="L23" s="3" t="n">
        <v>0.902</v>
      </c>
      <c r="M23" s="4" t="inlineStr">
        <is>
          <t>O2</t>
        </is>
      </c>
      <c r="N23" s="6" t="n"/>
      <c r="P23" t="n">
        <v>42.194816</v>
      </c>
      <c r="Q23" t="n">
        <v>-3.4955871</v>
      </c>
      <c r="R23" t="n">
        <v>9.382999999999999</v>
      </c>
      <c r="S23" t="n">
        <v>0.055</v>
      </c>
      <c r="T23" t="n">
        <v>-0.145721105258772</v>
      </c>
      <c r="U23" t="n">
        <v>-0.1349</v>
      </c>
      <c r="V23" t="n">
        <v>0.0112</v>
      </c>
      <c r="W23" t="n">
        <v>-0.0261</v>
      </c>
      <c r="X23" t="n">
        <v>0.1466562763335089</v>
      </c>
      <c r="Y23" t="n">
        <v>0.1309</v>
      </c>
      <c r="Z23" t="n">
        <v>0.025</v>
      </c>
      <c r="AA23" t="n">
        <v>-0.014</v>
      </c>
      <c r="AB23" t="n">
        <v>1.963421047956275</v>
      </c>
      <c r="AC23" t="n">
        <v>1.9234</v>
      </c>
      <c r="AD23" t="n">
        <v>-0.0576</v>
      </c>
      <c r="AE23" t="n">
        <v>0.0494</v>
      </c>
      <c r="AF23" t="n">
        <v>56.72764253999888</v>
      </c>
      <c r="AG23" t="n">
        <v>88.3509</v>
      </c>
      <c r="AH23" t="n">
        <v>-11.1969</v>
      </c>
      <c r="AI23" t="n">
        <v>14.5006</v>
      </c>
      <c r="AJ23" t="n">
        <v>0.5956700168219091</v>
      </c>
      <c r="AK23" t="n">
        <v>0.6375999999999999</v>
      </c>
      <c r="AL23" t="n">
        <v>-0.0387</v>
      </c>
      <c r="AM23" t="n">
        <v>0.0353</v>
      </c>
      <c r="AN23" t="n">
        <v>0.5488729743968128</v>
      </c>
      <c r="AO23" t="n">
        <v>0.5306</v>
      </c>
      <c r="AP23" t="n">
        <v>-0.0161</v>
      </c>
      <c r="AQ23" t="n">
        <v>0.0182</v>
      </c>
      <c r="AR23" t="n">
        <v>4.507995458876612</v>
      </c>
      <c r="AS23" t="n">
        <v>4.5012</v>
      </c>
      <c r="AT23" t="n">
        <v>-0.0064</v>
      </c>
      <c r="AU23" t="n">
        <v>0.0067</v>
      </c>
      <c r="AV23" t="n">
        <v>0.05332361738356362</v>
      </c>
      <c r="AW23" t="n">
        <v>0.0365</v>
      </c>
      <c r="AX23" t="n">
        <v>-0.0246</v>
      </c>
      <c r="AY23" t="n">
        <v>0.0216</v>
      </c>
      <c r="AZ23" t="n">
        <v>-0.2653095838769715</v>
      </c>
      <c r="BA23" t="n">
        <v>-0.2754</v>
      </c>
      <c r="BB23" t="n">
        <v>-0.0164</v>
      </c>
      <c r="BC23" t="n">
        <v>0.0175</v>
      </c>
      <c r="BD23" t="n">
        <v>0.2039236619104</v>
      </c>
      <c r="BE23" t="n">
        <v>1.3192</v>
      </c>
      <c r="BF23" t="n">
        <v>-0.4804</v>
      </c>
      <c r="BG23" t="n">
        <v>0.5657</v>
      </c>
    </row>
    <row r="24" ht="27" customHeight="1" s="9">
      <c r="A24" s="3" t="n">
        <v>22</v>
      </c>
      <c r="B24" s="10">
        <f>IFERROR(AVERAGE(F24,L24,I24),"")</f>
        <v/>
      </c>
      <c r="C24" s="11" t="n"/>
      <c r="D24" s="11" t="inlineStr">
        <is>
          <t>F</t>
        </is>
      </c>
      <c r="E24" s="5" t="inlineStr">
        <is>
          <t>F (ns)</t>
        </is>
      </c>
      <c r="H24" s="5" t="inlineStr">
        <is>
          <t>F (ns)</t>
        </is>
      </c>
      <c r="I24" s="3" t="n"/>
      <c r="K24" s="5" t="inlineStr">
        <is>
          <t>F (ns)</t>
        </is>
      </c>
      <c r="N24" s="6" t="n"/>
      <c r="P24" t="n">
        <v>42.197776</v>
      </c>
      <c r="Q24" t="n">
        <v>-3.5000877</v>
      </c>
    </row>
    <row r="25" ht="27" customHeight="1" s="9">
      <c r="A25" s="3" t="n">
        <v>23</v>
      </c>
      <c r="B25" s="10">
        <f>IFERROR(AVERAGE(F25,L25,I25),"")</f>
        <v/>
      </c>
      <c r="C25" s="11" t="n">
        <v>3</v>
      </c>
      <c r="D25" s="11" t="inlineStr">
        <is>
          <t>A</t>
        </is>
      </c>
      <c r="E25" s="5" t="inlineStr">
        <is>
          <t>A</t>
        </is>
      </c>
      <c r="F25" s="3" t="n">
        <v>0.5655</v>
      </c>
      <c r="G25" s="4" t="inlineStr">
        <is>
          <t>O3b</t>
        </is>
      </c>
      <c r="H25" s="5" t="inlineStr">
        <is>
          <t>A</t>
        </is>
      </c>
      <c r="I25" s="3" t="n">
        <v>0.5659999999999999</v>
      </c>
      <c r="J25" s="4" t="inlineStr">
        <is>
          <t>O3a,O3b</t>
        </is>
      </c>
      <c r="K25" s="5" t="inlineStr">
        <is>
          <t>A</t>
        </is>
      </c>
      <c r="L25" s="3" t="n">
        <v>0.5649999999999999</v>
      </c>
      <c r="M25" s="4" t="inlineStr">
        <is>
          <t>O3b</t>
        </is>
      </c>
      <c r="N25" s="6" t="n"/>
      <c r="P25" t="n">
        <v>42.130406</v>
      </c>
      <c r="Q25" t="n">
        <v>-3.4720578</v>
      </c>
      <c r="R25" t="n">
        <v>9.590999999999999</v>
      </c>
      <c r="S25" t="n">
        <v>0.083</v>
      </c>
      <c r="T25" t="n">
        <v>-0.03580513350272777</v>
      </c>
      <c r="U25" t="n">
        <v>-0.0411</v>
      </c>
      <c r="V25" t="n">
        <v>-0.0072</v>
      </c>
      <c r="W25" t="n">
        <v>0.0075</v>
      </c>
      <c r="X25" t="n">
        <v>0.132109387346652</v>
      </c>
      <c r="Y25" t="n">
        <v>0.142</v>
      </c>
      <c r="Z25" t="n">
        <v>0.0112</v>
      </c>
      <c r="AA25" t="n">
        <v>-0.0059</v>
      </c>
      <c r="AB25" t="n">
        <v>2.249296782171987</v>
      </c>
      <c r="AC25" t="n">
        <v>2.2556</v>
      </c>
      <c r="AD25" t="n">
        <v>-0.0125</v>
      </c>
      <c r="AE25" t="n">
        <v>0.0128</v>
      </c>
      <c r="AF25" t="n">
        <v>296.6292549224473</v>
      </c>
      <c r="AG25" t="n">
        <v>243.9427</v>
      </c>
      <c r="AH25" t="n">
        <v>-11.7369</v>
      </c>
      <c r="AI25" t="n">
        <v>13.236</v>
      </c>
      <c r="AJ25" t="n">
        <v>0.6487237639779794</v>
      </c>
      <c r="AK25" t="n">
        <v>0.6328</v>
      </c>
      <c r="AL25" t="n">
        <v>-0.0129</v>
      </c>
      <c r="AM25" t="n">
        <v>0.0161</v>
      </c>
      <c r="AN25" t="n">
        <v>0.5725143898630234</v>
      </c>
      <c r="AO25" t="n">
        <v>0.5770999999999999</v>
      </c>
      <c r="AP25" t="n">
        <v>-0.008200000000000001</v>
      </c>
      <c r="AQ25" t="n">
        <v>0.0077</v>
      </c>
      <c r="AR25" t="n">
        <v>5.016998717447589</v>
      </c>
      <c r="AS25" t="n">
        <v>5.0149</v>
      </c>
      <c r="AT25" t="n">
        <v>-0.0029</v>
      </c>
      <c r="AU25" t="n">
        <v>0.0031</v>
      </c>
      <c r="AV25" t="n">
        <v>0.4167606177858234</v>
      </c>
      <c r="AW25" t="n">
        <v>0.4106</v>
      </c>
      <c r="AX25" t="n">
        <v>-0.0073</v>
      </c>
      <c r="AY25" t="n">
        <v>0.0073</v>
      </c>
      <c r="AZ25" t="n">
        <v>0.06548243704014056</v>
      </c>
      <c r="BA25" t="n">
        <v>0.0659</v>
      </c>
      <c r="BB25" t="n">
        <v>-0.0062</v>
      </c>
      <c r="BC25" t="n">
        <v>0.0062</v>
      </c>
      <c r="BD25" t="n">
        <v>1.587185508280106</v>
      </c>
      <c r="BE25" t="n">
        <v>1.2591</v>
      </c>
      <c r="BF25" t="n">
        <v>-0.0944</v>
      </c>
      <c r="BG25" t="n">
        <v>0.09710000000000001</v>
      </c>
    </row>
    <row r="26" ht="27" customHeight="1" s="9">
      <c r="A26" s="3" t="n">
        <v>24</v>
      </c>
      <c r="B26" s="10">
        <f>IFERROR(AVERAGE(F26,L26,I26),"")</f>
        <v/>
      </c>
      <c r="C26" s="11" t="n">
        <v>3</v>
      </c>
      <c r="D26" s="11" t="inlineStr">
        <is>
          <t>A</t>
        </is>
      </c>
      <c r="E26" s="5" t="inlineStr">
        <is>
          <t>A</t>
        </is>
      </c>
      <c r="F26" s="3" t="n">
        <v>0.849</v>
      </c>
      <c r="G26" s="4" t="inlineStr">
        <is>
          <t>O3b</t>
        </is>
      </c>
      <c r="H26" s="5" t="inlineStr">
        <is>
          <t>A</t>
        </is>
      </c>
      <c r="I26" s="3" t="n">
        <v>0.848</v>
      </c>
      <c r="J26" s="4" t="inlineStr">
        <is>
          <t>Hg,Hb,O3a,O3b</t>
        </is>
      </c>
      <c r="K26" s="5" t="inlineStr">
        <is>
          <t>A</t>
        </is>
      </c>
      <c r="L26" s="3" t="n">
        <v>0.848</v>
      </c>
      <c r="M26" s="4" t="inlineStr">
        <is>
          <t>Hb,O3a,O3b</t>
        </is>
      </c>
      <c r="N26" s="6" t="n"/>
      <c r="O26" s="4" t="inlineStr">
        <is>
          <t>Hg</t>
        </is>
      </c>
      <c r="P26" t="n">
        <v>42.137042</v>
      </c>
      <c r="Q26" t="n">
        <v>-3.4785358</v>
      </c>
      <c r="R26" t="n">
        <v>9.696</v>
      </c>
      <c r="S26" t="n">
        <v>0.082</v>
      </c>
    </row>
    <row r="27" ht="27" customHeight="1" s="9">
      <c r="A27" s="3" t="n">
        <v>25</v>
      </c>
      <c r="B27" s="10">
        <f>IFERROR(AVERAGE(F27,L27,I27),"")</f>
        <v/>
      </c>
      <c r="C27" s="11" t="n">
        <v>3</v>
      </c>
      <c r="D27" s="11" t="inlineStr">
        <is>
          <t>A</t>
        </is>
      </c>
      <c r="E27" s="5" t="inlineStr">
        <is>
          <t>F (ns)</t>
        </is>
      </c>
      <c r="H27" s="5" t="inlineStr">
        <is>
          <t>A</t>
        </is>
      </c>
      <c r="I27" s="3" t="n">
        <v>0.633</v>
      </c>
      <c r="J27" s="4" t="inlineStr">
        <is>
          <t>Hb,O3b</t>
        </is>
      </c>
      <c r="K27" s="5" t="inlineStr">
        <is>
          <t>A</t>
        </is>
      </c>
      <c r="L27" s="3" t="n">
        <v>0.633</v>
      </c>
      <c r="M27" s="4" t="inlineStr">
        <is>
          <t>Hb,O3b</t>
        </is>
      </c>
      <c r="N27" s="6" t="n"/>
      <c r="P27" t="n">
        <v>42.112585</v>
      </c>
      <c r="Q27" t="n">
        <v>-3.4700597</v>
      </c>
      <c r="R27" t="n">
        <v>9.390000000000001</v>
      </c>
      <c r="S27" t="n">
        <v>0.062</v>
      </c>
      <c r="T27" t="n">
        <v>-0.1495032954918915</v>
      </c>
      <c r="U27" t="n">
        <v>-0.1307</v>
      </c>
      <c r="V27" t="n">
        <v>0.0144</v>
      </c>
      <c r="W27" t="n">
        <v>-0.0304</v>
      </c>
      <c r="X27" t="n">
        <v>0.07587474371136224</v>
      </c>
      <c r="Y27" t="n">
        <v>0.0442</v>
      </c>
      <c r="Z27" t="n">
        <v>-0.0697</v>
      </c>
      <c r="AA27" t="n">
        <v>0.065</v>
      </c>
      <c r="AB27" t="n">
        <v>2.269253447612259</v>
      </c>
      <c r="AC27" t="n">
        <v>2.2135</v>
      </c>
      <c r="AD27" t="n">
        <v>-0.0704</v>
      </c>
      <c r="AE27" t="n">
        <v>0.0566</v>
      </c>
      <c r="AF27" t="n">
        <v>121.5012073847258</v>
      </c>
      <c r="AG27" t="n">
        <v>101.2979</v>
      </c>
      <c r="AH27" t="n">
        <v>-12.7033</v>
      </c>
      <c r="AI27" t="n">
        <v>15.0196</v>
      </c>
      <c r="AJ27" t="n">
        <v>0.5447260545978694</v>
      </c>
      <c r="AK27" t="n">
        <v>0.5814</v>
      </c>
      <c r="AL27" t="n">
        <v>-0.0771</v>
      </c>
      <c r="AM27" t="n">
        <v>0.0936</v>
      </c>
      <c r="AN27" t="n">
        <v>0.539489958185275</v>
      </c>
      <c r="AO27" t="n">
        <v>0.5232</v>
      </c>
      <c r="AP27" t="n">
        <v>-0.0371</v>
      </c>
      <c r="AQ27" t="n">
        <v>0.0364</v>
      </c>
      <c r="AR27" t="n">
        <v>4.405003071256503</v>
      </c>
      <c r="AS27" t="n">
        <v>4.4036</v>
      </c>
      <c r="AT27" t="n">
        <v>-0.0076</v>
      </c>
      <c r="AU27" t="n">
        <v>0.0074</v>
      </c>
      <c r="AV27" t="n">
        <v>0.3200113600501671</v>
      </c>
      <c r="AW27" t="n">
        <v>0.3447</v>
      </c>
      <c r="AX27" t="n">
        <v>-0.0221</v>
      </c>
      <c r="AY27" t="n">
        <v>0.0213</v>
      </c>
      <c r="AZ27" t="n">
        <v>0.1468231753478377</v>
      </c>
      <c r="BA27" t="n">
        <v>0.1556</v>
      </c>
      <c r="BB27" t="n">
        <v>-0.0234</v>
      </c>
      <c r="BC27" t="n">
        <v>0.03</v>
      </c>
      <c r="BD27" t="n">
        <v>1.481452392140514</v>
      </c>
      <c r="BE27" t="n">
        <v>1.4544</v>
      </c>
      <c r="BF27" t="n">
        <v>-0.4218</v>
      </c>
      <c r="BG27" t="n">
        <v>0.5918</v>
      </c>
    </row>
    <row r="28" ht="27" customHeight="1" s="9">
      <c r="A28" s="3" t="n">
        <v>26</v>
      </c>
      <c r="B28" s="10">
        <f>IFERROR(AVERAGE(F28,L28,I28),"")</f>
        <v/>
      </c>
      <c r="C28" s="11" t="n">
        <v>3</v>
      </c>
      <c r="D28" s="11" t="inlineStr">
        <is>
          <t>A</t>
        </is>
      </c>
      <c r="E28" s="5" t="inlineStr">
        <is>
          <t>E (fc)</t>
        </is>
      </c>
      <c r="H28" s="5" t="inlineStr">
        <is>
          <t>A</t>
        </is>
      </c>
      <c r="I28" s="3" t="n">
        <v>0.675</v>
      </c>
      <c r="J28" s="4" t="inlineStr">
        <is>
          <t>Hb</t>
        </is>
      </c>
      <c r="K28" s="5" t="inlineStr">
        <is>
          <t>B (sky)</t>
        </is>
      </c>
      <c r="L28" s="3" t="n">
        <v>0.674</v>
      </c>
      <c r="M28" s="4" t="inlineStr">
        <is>
          <t>Hb,O3b</t>
        </is>
      </c>
      <c r="N28" s="6" t="inlineStr">
        <is>
          <t>Single line, not likely [O II]</t>
        </is>
      </c>
      <c r="O28" s="4" t="inlineStr">
        <is>
          <t>O3a</t>
        </is>
      </c>
      <c r="P28" t="n">
        <v>42.208147</v>
      </c>
      <c r="Q28" t="n">
        <v>-3.5172006</v>
      </c>
      <c r="R28" t="n">
        <v>9.970000000000001</v>
      </c>
      <c r="S28" t="n">
        <v>0.05</v>
      </c>
      <c r="T28" t="n">
        <v>-0.1272498214987532</v>
      </c>
      <c r="U28" t="n">
        <v>-0.1259</v>
      </c>
      <c r="V28" t="n">
        <v>0.0164</v>
      </c>
      <c r="W28" t="n">
        <v>-0.0222</v>
      </c>
      <c r="X28" t="n">
        <v>-0.1377481709556558</v>
      </c>
      <c r="Y28" t="n">
        <v>-0.0975</v>
      </c>
      <c r="Z28" t="n">
        <v>0.0365</v>
      </c>
      <c r="AA28" t="n">
        <v>-0.0474</v>
      </c>
      <c r="AB28" t="n">
        <v>-2.503692596018114</v>
      </c>
      <c r="AC28" t="n">
        <v>-2.5204</v>
      </c>
      <c r="AD28" t="n">
        <v>-0.0269</v>
      </c>
      <c r="AE28" t="n">
        <v>0.0307</v>
      </c>
      <c r="AF28" t="n">
        <v>190.9935199550471</v>
      </c>
      <c r="AG28" t="n">
        <v>192.2275</v>
      </c>
      <c r="AH28" t="n">
        <v>-9.4163</v>
      </c>
      <c r="AI28" t="n">
        <v>10.2721</v>
      </c>
      <c r="AJ28" t="n">
        <v>0.4431854004176945</v>
      </c>
      <c r="AK28" t="n">
        <v>0.4808</v>
      </c>
      <c r="AL28" t="n">
        <v>-0.0367</v>
      </c>
      <c r="AM28" t="n">
        <v>0.0523</v>
      </c>
      <c r="AN28" t="n">
        <v>0.8872465902575488</v>
      </c>
      <c r="AO28" t="n">
        <v>0.852</v>
      </c>
      <c r="AP28" t="n">
        <v>-0.0396</v>
      </c>
      <c r="AQ28" t="n">
        <v>0.0324</v>
      </c>
      <c r="AR28" t="n">
        <v>4.921658194304101</v>
      </c>
      <c r="AS28" t="n">
        <v>4.9221</v>
      </c>
      <c r="AT28" t="n">
        <v>-0.0045</v>
      </c>
      <c r="AU28" t="n">
        <v>0.0045</v>
      </c>
      <c r="AV28" t="n">
        <v>-0.1792032930607592</v>
      </c>
      <c r="AW28" t="n">
        <v>-0.1739</v>
      </c>
      <c r="AX28" t="n">
        <v>-0.0149</v>
      </c>
      <c r="AY28" t="n">
        <v>0.0151</v>
      </c>
      <c r="AZ28" t="n">
        <v>0.2246675865621219</v>
      </c>
      <c r="BA28" t="n">
        <v>0.2433</v>
      </c>
      <c r="BB28" t="n">
        <v>-0.018</v>
      </c>
      <c r="BC28" t="n">
        <v>0.0261</v>
      </c>
      <c r="BD28" t="n">
        <v>0.5118569799298632</v>
      </c>
      <c r="BE28" t="n">
        <v>0.4406</v>
      </c>
      <c r="BF28" t="n">
        <v>-0.08119999999999999</v>
      </c>
      <c r="BG28" t="n">
        <v>0.0978</v>
      </c>
    </row>
    <row r="29" ht="27" customHeight="1" s="9">
      <c r="A29" s="3" t="n">
        <v>27</v>
      </c>
      <c r="B29" s="10">
        <f>IFERROR(AVERAGE(F29,L29,I29),"")</f>
        <v/>
      </c>
      <c r="C29" s="11" t="n">
        <v>3</v>
      </c>
      <c r="D29" s="11" t="inlineStr">
        <is>
          <t>AS</t>
        </is>
      </c>
      <c r="E29" s="5" t="inlineStr">
        <is>
          <t>E (fc)</t>
        </is>
      </c>
      <c r="H29" s="5" t="inlineStr">
        <is>
          <t>E (fc)</t>
        </is>
      </c>
      <c r="I29" s="3" t="n"/>
      <c r="K29" s="5" t="inlineStr">
        <is>
          <t>A</t>
        </is>
      </c>
      <c r="L29" s="3" t="n">
        <v>0.63</v>
      </c>
      <c r="M29" s="4" t="inlineStr">
        <is>
          <t>Hb,O3b</t>
        </is>
      </c>
      <c r="N29" s="6" t="n"/>
      <c r="P29" t="n">
        <v>42.118436</v>
      </c>
      <c r="Q29" t="n">
        <v>-3.478245</v>
      </c>
      <c r="R29" t="n">
        <v>9.923999999999999</v>
      </c>
      <c r="S29" t="n">
        <v>0.022</v>
      </c>
      <c r="T29" t="n">
        <v>-0.1327559611421973</v>
      </c>
      <c r="U29" t="n">
        <v>-0.1263</v>
      </c>
      <c r="V29" t="n">
        <v>0.0177</v>
      </c>
      <c r="W29" t="n">
        <v>-0.0342</v>
      </c>
      <c r="X29" t="n">
        <v>-0.0590805630920173</v>
      </c>
      <c r="Y29" t="n">
        <v>-0.0589</v>
      </c>
      <c r="Z29" t="n">
        <v>-0.0202</v>
      </c>
      <c r="AA29" t="n">
        <v>0.0196</v>
      </c>
      <c r="AB29" t="n">
        <v>-3.017910710247985</v>
      </c>
      <c r="AC29" t="n">
        <v>-2.9889</v>
      </c>
      <c r="AD29" t="n">
        <v>-0.0243</v>
      </c>
      <c r="AE29" t="n">
        <v>0.0246</v>
      </c>
      <c r="AF29" t="n">
        <v>157.4250915782504</v>
      </c>
      <c r="AG29" t="n">
        <v>148.6908</v>
      </c>
      <c r="AH29" t="n">
        <v>-9.507099999999999</v>
      </c>
      <c r="AI29" t="n">
        <v>9.9544</v>
      </c>
      <c r="AJ29" t="n">
        <v>0.5790690233244303</v>
      </c>
      <c r="AK29" t="n">
        <v>0.5867</v>
      </c>
      <c r="AL29" t="n">
        <v>-0.0343</v>
      </c>
      <c r="AM29" t="n">
        <v>0.0476</v>
      </c>
      <c r="AN29" t="n">
        <v>1.356201239692413</v>
      </c>
      <c r="AO29" t="n">
        <v>1.3639</v>
      </c>
      <c r="AP29" t="n">
        <v>-0.0532</v>
      </c>
      <c r="AQ29" t="n">
        <v>0.0499</v>
      </c>
      <c r="AR29" t="n">
        <v>4.962898636827308</v>
      </c>
      <c r="AS29" t="n">
        <v>4.969</v>
      </c>
      <c r="AT29" t="n">
        <v>-0.0103</v>
      </c>
      <c r="AU29" t="n">
        <v>0.0108</v>
      </c>
      <c r="AV29" t="n">
        <v>-0.05363664080814035</v>
      </c>
      <c r="AW29" t="n">
        <v>-0.0505</v>
      </c>
      <c r="AX29" t="n">
        <v>-0.0149</v>
      </c>
      <c r="AY29" t="n">
        <v>0.0149</v>
      </c>
      <c r="AZ29" t="n">
        <v>0.07834624830653225</v>
      </c>
      <c r="BA29" t="n">
        <v>0.07439999999999999</v>
      </c>
      <c r="BB29" t="n">
        <v>-0.0102</v>
      </c>
      <c r="BC29" t="n">
        <v>0.0103</v>
      </c>
      <c r="BD29" t="n">
        <v>0.6931464655224862</v>
      </c>
      <c r="BE29" t="n">
        <v>0.5535</v>
      </c>
      <c r="BF29" t="n">
        <v>-0.1048</v>
      </c>
      <c r="BG29" t="n">
        <v>0.1088</v>
      </c>
    </row>
    <row r="30" ht="27" customHeight="1" s="9">
      <c r="A30" s="3" t="n">
        <v>28</v>
      </c>
      <c r="B30" s="10">
        <f>IFERROR(AVERAGE(F30,L30,I30),"")</f>
        <v/>
      </c>
      <c r="C30" s="11" t="n">
        <v>3</v>
      </c>
      <c r="D30" s="11" t="inlineStr">
        <is>
          <t>B</t>
        </is>
      </c>
      <c r="E30" s="5" t="inlineStr">
        <is>
          <t>F (ns)</t>
        </is>
      </c>
      <c r="H30" s="5" t="inlineStr">
        <is>
          <t>B (sky)</t>
        </is>
      </c>
      <c r="I30" s="3" t="n">
        <v>0.57</v>
      </c>
      <c r="J30" s="4" t="inlineStr">
        <is>
          <t>O3a,O3b</t>
        </is>
      </c>
      <c r="K30" s="5" t="inlineStr">
        <is>
          <t>B (sky)</t>
        </is>
      </c>
      <c r="L30" s="3" t="n">
        <v>0.57</v>
      </c>
      <c r="M30" s="4" t="inlineStr">
        <is>
          <t>O3b</t>
        </is>
      </c>
      <c r="N30" s="6" t="n"/>
      <c r="O30" s="4" t="inlineStr">
        <is>
          <t>O3a</t>
        </is>
      </c>
      <c r="P30" t="n">
        <v>42.198081</v>
      </c>
      <c r="Q30" t="n">
        <v>-3.5185422</v>
      </c>
      <c r="R30" t="n">
        <v>9.048999999999999</v>
      </c>
      <c r="S30" t="n">
        <v>0.117</v>
      </c>
      <c r="T30" t="n">
        <v>0.005346683691502097</v>
      </c>
      <c r="U30" t="n">
        <v>0.0044</v>
      </c>
      <c r="V30" t="n">
        <v>-0.0588</v>
      </c>
      <c r="W30" t="n">
        <v>0.0475</v>
      </c>
      <c r="X30" t="n">
        <v>-0.1491020621042478</v>
      </c>
      <c r="Y30" t="n">
        <v>-0.1328</v>
      </c>
      <c r="Z30" t="n">
        <v>0.0126</v>
      </c>
      <c r="AA30" t="n">
        <v>-0.0233</v>
      </c>
      <c r="AB30" t="n">
        <v>0.6340208043029536</v>
      </c>
      <c r="AC30" t="n">
        <v>0.5488</v>
      </c>
      <c r="AD30" t="n">
        <v>-0.1748</v>
      </c>
      <c r="AE30" t="n">
        <v>0.1894</v>
      </c>
      <c r="AF30" t="n">
        <v>153.0938762069441</v>
      </c>
      <c r="AG30" t="n">
        <v>105.6617</v>
      </c>
      <c r="AH30" t="n">
        <v>-15.5415</v>
      </c>
      <c r="AI30" t="n">
        <v>14.4219</v>
      </c>
      <c r="AJ30" t="n">
        <v>0.7244058639032023</v>
      </c>
      <c r="AK30" t="n">
        <v>0.7603</v>
      </c>
      <c r="AL30" t="n">
        <v>-0.0503</v>
      </c>
      <c r="AM30" t="n">
        <v>0.0449</v>
      </c>
      <c r="AN30" t="n">
        <v>0.4459574204271476</v>
      </c>
      <c r="AO30" t="n">
        <v>0.442</v>
      </c>
      <c r="AP30" t="n">
        <v>-0.0162</v>
      </c>
      <c r="AQ30" t="n">
        <v>0.0177</v>
      </c>
      <c r="AR30" t="n">
        <v>4.425669298449586</v>
      </c>
      <c r="AS30" t="n">
        <v>4.4262</v>
      </c>
      <c r="AT30" t="n">
        <v>-0.0069</v>
      </c>
      <c r="AU30" t="n">
        <v>0.0068</v>
      </c>
      <c r="AV30" t="n">
        <v>0.2372714586073983</v>
      </c>
      <c r="AW30" t="n">
        <v>0.2049</v>
      </c>
      <c r="AX30" t="n">
        <v>-0.09180000000000001</v>
      </c>
      <c r="AY30" t="n">
        <v>0.0977</v>
      </c>
      <c r="AZ30" t="n">
        <v>-0.3710854711846405</v>
      </c>
      <c r="BA30" t="n">
        <v>-0.3917</v>
      </c>
      <c r="BB30" t="n">
        <v>-0.0332</v>
      </c>
      <c r="BC30" t="n">
        <v>0.0315</v>
      </c>
      <c r="BD30" t="n">
        <v>1.900406061094654</v>
      </c>
      <c r="BE30" t="n">
        <v>1.0146</v>
      </c>
      <c r="BF30" t="n">
        <v>-0.2516</v>
      </c>
      <c r="BG30" t="n">
        <v>0.3217</v>
      </c>
    </row>
    <row r="31" ht="27" customHeight="1" s="9">
      <c r="A31" s="3" t="n">
        <v>29</v>
      </c>
      <c r="B31" s="10">
        <f>IFERROR(AVERAGE(F31,L31,I31),"")</f>
        <v/>
      </c>
      <c r="C31" s="11" t="n">
        <v>3</v>
      </c>
      <c r="D31" s="11" t="inlineStr">
        <is>
          <t>A</t>
        </is>
      </c>
      <c r="E31" s="5" t="inlineStr">
        <is>
          <t>A</t>
        </is>
      </c>
      <c r="F31" s="3" t="n">
        <v>0.5649999999999999</v>
      </c>
      <c r="G31" s="4" t="inlineStr">
        <is>
          <t>O3b</t>
        </is>
      </c>
      <c r="H31" s="5" t="inlineStr">
        <is>
          <t>A</t>
        </is>
      </c>
      <c r="I31" s="3" t="n">
        <v>0.5639999999999999</v>
      </c>
      <c r="J31" s="4" t="inlineStr">
        <is>
          <t>O3a,O3b</t>
        </is>
      </c>
      <c r="K31" s="5" t="inlineStr">
        <is>
          <t>B (sky)</t>
        </is>
      </c>
      <c r="L31" s="3" t="n">
        <v>0.5635</v>
      </c>
      <c r="M31" s="4" t="inlineStr">
        <is>
          <t>O3a,O3b</t>
        </is>
      </c>
      <c r="N31" s="6" t="n"/>
      <c r="O31" s="4" t="inlineStr">
        <is>
          <t>O3a</t>
        </is>
      </c>
      <c r="P31" t="n">
        <v>42.140826</v>
      </c>
      <c r="Q31" t="n">
        <v>-3.4967561</v>
      </c>
      <c r="R31" t="n">
        <v>9.977</v>
      </c>
      <c r="S31" t="n">
        <v>0.014</v>
      </c>
      <c r="T31" t="n">
        <v>-0.03613879755826037</v>
      </c>
      <c r="U31" t="n">
        <v>-0.078</v>
      </c>
      <c r="V31" t="n">
        <v>-0.0271</v>
      </c>
      <c r="W31" t="n">
        <v>0.0254</v>
      </c>
      <c r="X31" t="n">
        <v>-0.06875583808455828</v>
      </c>
      <c r="Y31" t="n">
        <v>-0.0352</v>
      </c>
      <c r="Z31" t="n">
        <v>-0.034</v>
      </c>
      <c r="AA31" t="n">
        <v>0.0338</v>
      </c>
      <c r="AB31" t="n">
        <v>2.659932749137058</v>
      </c>
      <c r="AC31" t="n">
        <v>2.6935</v>
      </c>
      <c r="AD31" t="n">
        <v>-0.029</v>
      </c>
      <c r="AE31" t="n">
        <v>0.0273</v>
      </c>
      <c r="AF31" t="n">
        <v>350.9094627433309</v>
      </c>
      <c r="AG31" t="n">
        <v>285.7421</v>
      </c>
      <c r="AH31" t="n">
        <v>-15.516</v>
      </c>
      <c r="AI31" t="n">
        <v>17.6025</v>
      </c>
      <c r="AJ31" t="n">
        <v>0.6023455209831547</v>
      </c>
      <c r="AK31" t="n">
        <v>0.5406</v>
      </c>
      <c r="AL31" t="n">
        <v>-0.0458</v>
      </c>
      <c r="AM31" t="n">
        <v>0.0466</v>
      </c>
      <c r="AN31" t="n">
        <v>0.6311643197823544</v>
      </c>
      <c r="AO31" t="n">
        <v>0.6686</v>
      </c>
      <c r="AP31" t="n">
        <v>-0.026</v>
      </c>
      <c r="AQ31" t="n">
        <v>0.0273</v>
      </c>
      <c r="AR31" t="n">
        <v>5.076267481864985</v>
      </c>
      <c r="AS31" t="n">
        <v>5.0785</v>
      </c>
      <c r="AT31" t="n">
        <v>-0.0034</v>
      </c>
      <c r="AU31" t="n">
        <v>0.0035</v>
      </c>
      <c r="AV31" t="n">
        <v>0.3161535521439456</v>
      </c>
      <c r="AW31" t="n">
        <v>0.3128</v>
      </c>
      <c r="AX31" t="n">
        <v>-0.0072</v>
      </c>
      <c r="AY31" t="n">
        <v>0.0075</v>
      </c>
      <c r="AZ31" t="n">
        <v>-0.02555748987647455</v>
      </c>
      <c r="BA31" t="n">
        <v>-0.0153</v>
      </c>
      <c r="BB31" t="n">
        <v>-0.0065</v>
      </c>
      <c r="BC31" t="n">
        <v>0.006</v>
      </c>
      <c r="BD31" t="n">
        <v>0.8246207852525841</v>
      </c>
      <c r="BE31" t="n">
        <v>0.6899999999999999</v>
      </c>
      <c r="BF31" t="n">
        <v>-0.0901</v>
      </c>
      <c r="BG31" t="n">
        <v>0.0965</v>
      </c>
    </row>
    <row r="32" ht="27" customHeight="1" s="9">
      <c r="A32" s="3" t="n">
        <v>30</v>
      </c>
      <c r="B32" s="10">
        <f>IFERROR(AVERAGE(F32,L32,I32),"")</f>
        <v/>
      </c>
      <c r="C32" s="11" t="n">
        <v>3</v>
      </c>
      <c r="D32" s="11" t="inlineStr">
        <is>
          <t>A</t>
        </is>
      </c>
      <c r="E32" s="5" t="inlineStr">
        <is>
          <t>A</t>
        </is>
      </c>
      <c r="F32" s="3" t="n">
        <v>0.628</v>
      </c>
      <c r="G32" s="4" t="inlineStr">
        <is>
          <t>O3b</t>
        </is>
      </c>
      <c r="H32" s="5" t="inlineStr">
        <is>
          <t>A</t>
        </is>
      </c>
      <c r="I32" s="3" t="n">
        <v>0.628</v>
      </c>
      <c r="J32" s="4" t="inlineStr">
        <is>
          <t>Hb,O3a,O3b</t>
        </is>
      </c>
      <c r="K32" s="5" t="inlineStr">
        <is>
          <t>A</t>
        </is>
      </c>
      <c r="L32" s="3" t="n">
        <v>0.628</v>
      </c>
      <c r="M32" s="4" t="inlineStr">
        <is>
          <t>Hb,O3a,O3b</t>
        </is>
      </c>
      <c r="N32" s="6" t="n"/>
      <c r="O32" s="4" t="inlineStr">
        <is>
          <t>Hb</t>
        </is>
      </c>
      <c r="P32" t="n">
        <v>42.122515</v>
      </c>
      <c r="Q32" t="n">
        <v>-3.4913543</v>
      </c>
      <c r="R32" t="n">
        <v>9.576000000000001</v>
      </c>
      <c r="S32" t="n">
        <v>0.111</v>
      </c>
      <c r="T32" t="n">
        <v>0.07601269692624754</v>
      </c>
      <c r="U32" t="n">
        <v>0.08599999999999999</v>
      </c>
      <c r="V32" t="n">
        <v>-0.0201</v>
      </c>
      <c r="W32" t="n">
        <v>0.0207</v>
      </c>
      <c r="X32" t="n">
        <v>-0.1479895371955892</v>
      </c>
      <c r="Y32" t="n">
        <v>-0.1471</v>
      </c>
      <c r="Z32" t="n">
        <v>0.0022</v>
      </c>
      <c r="AA32" t="n">
        <v>-0.004</v>
      </c>
      <c r="AB32" t="n">
        <v>-1.832071356765358</v>
      </c>
      <c r="AC32" t="n">
        <v>-1.8569</v>
      </c>
      <c r="AD32" t="n">
        <v>-0.0382</v>
      </c>
      <c r="AE32" t="n">
        <v>0.0403</v>
      </c>
      <c r="AF32" t="n">
        <v>210.9506180278212</v>
      </c>
      <c r="AG32" t="n">
        <v>163.2143</v>
      </c>
      <c r="AH32" t="n">
        <v>-14.3619</v>
      </c>
      <c r="AI32" t="n">
        <v>13.0289</v>
      </c>
      <c r="AJ32" t="n">
        <v>0.8825523399837257</v>
      </c>
      <c r="AK32" t="n">
        <v>0.8427</v>
      </c>
      <c r="AL32" t="n">
        <v>-0.0298</v>
      </c>
      <c r="AM32" t="n">
        <v>0.0271</v>
      </c>
      <c r="AN32" t="n">
        <v>0.8449434250377168</v>
      </c>
      <c r="AO32" t="n">
        <v>0.8565</v>
      </c>
      <c r="AP32" t="n">
        <v>-0.0213</v>
      </c>
      <c r="AQ32" t="n">
        <v>0.0228</v>
      </c>
      <c r="AR32" t="n">
        <v>4.706040293871089</v>
      </c>
      <c r="AS32" t="n">
        <v>4.7007</v>
      </c>
      <c r="AT32" t="n">
        <v>-0.008399999999999999</v>
      </c>
      <c r="AU32" t="n">
        <v>0.008699999999999999</v>
      </c>
      <c r="AV32" t="n">
        <v>-0.133942537329987</v>
      </c>
      <c r="AW32" t="n">
        <v>-0.1223</v>
      </c>
      <c r="AX32" t="n">
        <v>-0.0149</v>
      </c>
      <c r="AY32" t="n">
        <v>0.0151</v>
      </c>
      <c r="AZ32" t="n">
        <v>0.1343261469531849</v>
      </c>
      <c r="BA32" t="n">
        <v>0.1265</v>
      </c>
      <c r="BB32" t="n">
        <v>-0.0131</v>
      </c>
      <c r="BC32" t="n">
        <v>0.0134</v>
      </c>
      <c r="BD32" t="n">
        <v>1.450403672135245</v>
      </c>
      <c r="BE32" t="n">
        <v>1.2688</v>
      </c>
      <c r="BF32" t="n">
        <v>-0.1698</v>
      </c>
      <c r="BG32" t="n">
        <v>0.1956</v>
      </c>
    </row>
    <row r="33" ht="27" customHeight="1" s="9">
      <c r="A33" s="3" t="n">
        <v>31</v>
      </c>
      <c r="B33" s="10">
        <f>IFERROR(AVERAGE(F33,L33,I33),"")</f>
        <v/>
      </c>
      <c r="C33" s="11" t="n"/>
      <c r="D33" s="11" t="inlineStr">
        <is>
          <t>C</t>
        </is>
      </c>
      <c r="E33" s="5" t="inlineStr">
        <is>
          <t>C (cs)</t>
        </is>
      </c>
      <c r="H33" s="5" t="inlineStr">
        <is>
          <t>C (cs)</t>
        </is>
      </c>
      <c r="I33" s="3" t="n"/>
      <c r="K33" s="5" t="inlineStr">
        <is>
          <t>C (cs)</t>
        </is>
      </c>
      <c r="N33" s="6" t="n"/>
      <c r="P33" t="n">
        <v>42.093127</v>
      </c>
      <c r="Q33" t="n">
        <v>-3.4805345</v>
      </c>
    </row>
    <row r="34" ht="27" customHeight="1" s="9">
      <c r="A34" s="3" t="n">
        <v>32</v>
      </c>
      <c r="B34" s="10">
        <f>IFERROR(AVERAGE(F34,L34,I34),"")</f>
        <v/>
      </c>
      <c r="C34" s="11" t="n">
        <v>2</v>
      </c>
      <c r="D34" s="11" t="inlineStr">
        <is>
          <t>B</t>
        </is>
      </c>
      <c r="E34" s="5" t="inlineStr">
        <is>
          <t>F (ns)</t>
        </is>
      </c>
      <c r="H34" s="5" t="inlineStr">
        <is>
          <t>B (sky)</t>
        </is>
      </c>
      <c r="I34" s="3" t="n">
        <v>1.1</v>
      </c>
      <c r="J34" s="4" t="inlineStr">
        <is>
          <t>O2</t>
        </is>
      </c>
      <c r="K34" s="5" t="inlineStr">
        <is>
          <t>B (sky)</t>
        </is>
      </c>
      <c r="L34" s="3" t="n">
        <v>1.0995</v>
      </c>
      <c r="M34" s="4" t="inlineStr">
        <is>
          <t>O2</t>
        </is>
      </c>
      <c r="N34" s="6" t="n"/>
      <c r="P34" t="n">
        <v>42.134115</v>
      </c>
      <c r="Q34" t="n">
        <v>-3.5044585</v>
      </c>
      <c r="R34" t="n">
        <v>9.628</v>
      </c>
      <c r="S34" t="n">
        <v>0.167</v>
      </c>
      <c r="T34" t="n">
        <v>0.063247101214431</v>
      </c>
      <c r="U34" t="n">
        <v>0.1003</v>
      </c>
      <c r="V34" t="n">
        <v>-0.0484</v>
      </c>
      <c r="W34" t="n">
        <v>0.0333</v>
      </c>
      <c r="X34" t="n">
        <v>-0.1489404783992434</v>
      </c>
      <c r="Y34" t="n">
        <v>-0.1418</v>
      </c>
      <c r="Z34" t="n">
        <v>0.0059</v>
      </c>
      <c r="AA34" t="n">
        <v>-0.0115</v>
      </c>
      <c r="AB34" t="n">
        <v>-2.756051496930411</v>
      </c>
      <c r="AC34" t="n">
        <v>-2.6308</v>
      </c>
      <c r="AD34" t="n">
        <v>-0.08550000000000001</v>
      </c>
      <c r="AE34" t="n">
        <v>0.08119999999999999</v>
      </c>
      <c r="AF34" t="n">
        <v>342.9512488522593</v>
      </c>
      <c r="AG34" t="n">
        <v>273.1254</v>
      </c>
      <c r="AH34" t="n">
        <v>-16.2652</v>
      </c>
      <c r="AI34" t="n">
        <v>16.3883</v>
      </c>
      <c r="AJ34" t="n">
        <v>0.6698830665717004</v>
      </c>
      <c r="AK34" t="n">
        <v>0.6808</v>
      </c>
      <c r="AL34" t="n">
        <v>-0.0436</v>
      </c>
      <c r="AM34" t="n">
        <v>0.0389</v>
      </c>
      <c r="AN34" t="n">
        <v>0.432344139137554</v>
      </c>
      <c r="AO34" t="n">
        <v>0.4153</v>
      </c>
      <c r="AP34" t="n">
        <v>-0.021</v>
      </c>
      <c r="AQ34" t="n">
        <v>0.0213</v>
      </c>
      <c r="AR34" t="n">
        <v>4.154089283330297</v>
      </c>
      <c r="AS34" t="n">
        <v>4.1471</v>
      </c>
      <c r="AT34" t="n">
        <v>-0.0109</v>
      </c>
      <c r="AU34" t="n">
        <v>0.0111</v>
      </c>
      <c r="AV34" t="n">
        <v>-0.2191220526843884</v>
      </c>
      <c r="AW34" t="n">
        <v>-0.3043</v>
      </c>
      <c r="AX34" t="n">
        <v>-0.0531</v>
      </c>
      <c r="AY34" t="n">
        <v>0.0592</v>
      </c>
      <c r="AZ34" t="n">
        <v>0.4396776234898074</v>
      </c>
      <c r="BA34" t="n">
        <v>0.4434</v>
      </c>
      <c r="BB34" t="n">
        <v>-0.0332</v>
      </c>
      <c r="BC34" t="n">
        <v>0.0355</v>
      </c>
      <c r="BD34" t="n">
        <v>1.201461664671601</v>
      </c>
      <c r="BE34" t="n">
        <v>0.9308999999999999</v>
      </c>
      <c r="BF34" t="n">
        <v>-0.1365</v>
      </c>
      <c r="BG34" t="n">
        <v>0.1441</v>
      </c>
    </row>
    <row r="35" ht="27" customHeight="1" s="9">
      <c r="A35" s="3" t="n">
        <v>33</v>
      </c>
      <c r="B35" s="10">
        <f>IFERROR(AVERAGE(F35,L35,I35),"")</f>
        <v/>
      </c>
      <c r="C35" s="11" t="n">
        <v>3</v>
      </c>
      <c r="D35" s="11" t="inlineStr">
        <is>
          <t>B</t>
        </is>
      </c>
      <c r="E35" s="5" t="inlineStr">
        <is>
          <t>F (ns)</t>
        </is>
      </c>
      <c r="H35" s="5" t="inlineStr">
        <is>
          <t>B (sky)</t>
        </is>
      </c>
      <c r="I35" s="3" t="n">
        <v>0.6840000000000001</v>
      </c>
      <c r="J35" s="4" t="inlineStr">
        <is>
          <t>Hb,O3b</t>
        </is>
      </c>
      <c r="K35" s="5" t="inlineStr">
        <is>
          <t>B (sky)</t>
        </is>
      </c>
      <c r="L35" s="3" t="n">
        <v>0.6840000000000001</v>
      </c>
      <c r="M35" s="4" t="inlineStr">
        <is>
          <t>Hb,O3b</t>
        </is>
      </c>
      <c r="N35" s="6" t="n"/>
      <c r="O35" s="4" t="inlineStr">
        <is>
          <t>O3b</t>
        </is>
      </c>
      <c r="P35" t="n">
        <v>42.16135</v>
      </c>
      <c r="Q35" t="n">
        <v>-3.52079</v>
      </c>
      <c r="R35" t="n">
        <v>9.888</v>
      </c>
      <c r="S35" t="n">
        <v>0.061</v>
      </c>
      <c r="T35" t="n">
        <v>-0.1316836390789951</v>
      </c>
      <c r="U35" t="n">
        <v>-0.1279</v>
      </c>
      <c r="V35" t="n">
        <v>0.0131</v>
      </c>
      <c r="W35" t="n">
        <v>-0.0152</v>
      </c>
      <c r="X35" t="n">
        <v>-0.08337105981444984</v>
      </c>
      <c r="Y35" t="n">
        <v>-0.0887</v>
      </c>
      <c r="Z35" t="n">
        <v>-0.0163</v>
      </c>
      <c r="AA35" t="n">
        <v>0.0147</v>
      </c>
      <c r="AB35" t="n">
        <v>-2.03551201554724</v>
      </c>
      <c r="AC35" t="n">
        <v>-1.958</v>
      </c>
      <c r="AD35" t="n">
        <v>-0.2214</v>
      </c>
      <c r="AE35" t="n">
        <v>0.2163</v>
      </c>
      <c r="AF35" t="n">
        <v>120.7135876732888</v>
      </c>
      <c r="AG35" t="n">
        <v>126.0407</v>
      </c>
      <c r="AH35" t="n">
        <v>-15.3253</v>
      </c>
      <c r="AI35" t="n">
        <v>18.683</v>
      </c>
      <c r="AJ35" t="n">
        <v>0.9623916818821082</v>
      </c>
      <c r="AK35" t="n">
        <v>0.9554</v>
      </c>
      <c r="AL35" t="n">
        <v>-0.024</v>
      </c>
      <c r="AM35" t="n">
        <v>0.0144</v>
      </c>
      <c r="AN35" t="n">
        <v>0.5945742754022441</v>
      </c>
      <c r="AO35" t="n">
        <v>0.5988</v>
      </c>
      <c r="AP35" t="n">
        <v>-0.0117</v>
      </c>
      <c r="AQ35" t="n">
        <v>0.0116</v>
      </c>
      <c r="AR35" t="n">
        <v>4.710384769502754</v>
      </c>
      <c r="AS35" t="n">
        <v>4.7082</v>
      </c>
      <c r="AT35" t="n">
        <v>-0.0063</v>
      </c>
      <c r="AU35" t="n">
        <v>0.0063</v>
      </c>
      <c r="AV35" t="n">
        <v>-0.1580983482342559</v>
      </c>
      <c r="AW35" t="n">
        <v>-0.1546</v>
      </c>
      <c r="AX35" t="n">
        <v>-0.0117</v>
      </c>
      <c r="AY35" t="n">
        <v>0.0124</v>
      </c>
      <c r="AZ35" t="n">
        <v>0.01880138057802005</v>
      </c>
      <c r="BA35" t="n">
        <v>0.0128</v>
      </c>
      <c r="BB35" t="n">
        <v>-0.0323</v>
      </c>
      <c r="BC35" t="n">
        <v>0.0337</v>
      </c>
      <c r="BD35" t="n">
        <v>0.03803754951651548</v>
      </c>
      <c r="BE35" t="n">
        <v>0.1323</v>
      </c>
      <c r="BF35" t="n">
        <v>-0.0891</v>
      </c>
      <c r="BG35" t="n">
        <v>0.1564</v>
      </c>
    </row>
    <row r="36" ht="27" customHeight="1" s="9">
      <c r="A36" s="3" t="n">
        <v>34</v>
      </c>
      <c r="B36" s="10">
        <f>IFERROR(AVERAGE(F36,L36,I36),"")</f>
        <v/>
      </c>
      <c r="C36" s="11" t="n">
        <v>3</v>
      </c>
      <c r="D36" s="11" t="inlineStr">
        <is>
          <t>A</t>
        </is>
      </c>
      <c r="E36" s="5" t="inlineStr">
        <is>
          <t>B (sky)</t>
        </is>
      </c>
      <c r="F36" s="3" t="n">
        <v>0.657</v>
      </c>
      <c r="G36" s="4" t="inlineStr">
        <is>
          <t>O3b</t>
        </is>
      </c>
      <c r="H36" s="5" t="inlineStr">
        <is>
          <t>A</t>
        </is>
      </c>
      <c r="I36" s="3" t="n">
        <v>0.657</v>
      </c>
      <c r="J36" s="4" t="inlineStr">
        <is>
          <t>Hb,O3a,O3b</t>
        </is>
      </c>
      <c r="K36" s="5" t="inlineStr">
        <is>
          <t>A</t>
        </is>
      </c>
      <c r="L36" s="3" t="n">
        <v>0.6565</v>
      </c>
      <c r="M36" s="4" t="inlineStr">
        <is>
          <t>Hb,O3a,O3b</t>
        </is>
      </c>
      <c r="N36" s="6" t="n"/>
      <c r="P36" t="n">
        <v>42.107535</v>
      </c>
      <c r="Q36" t="n">
        <v>-3.4995786</v>
      </c>
    </row>
    <row r="37" ht="27" customHeight="1" s="9">
      <c r="A37" s="3" t="n">
        <v>35</v>
      </c>
      <c r="B37" s="10">
        <f>IFERROR(AVERAGE(F37,L37,I37),"")</f>
        <v/>
      </c>
      <c r="C37" s="11" t="n">
        <v>3</v>
      </c>
      <c r="D37" s="11" t="inlineStr">
        <is>
          <t>B</t>
        </is>
      </c>
      <c r="E37" s="5" t="inlineStr">
        <is>
          <t>A</t>
        </is>
      </c>
      <c r="F37" s="3" t="n">
        <v>0.655</v>
      </c>
      <c r="G37" s="4" t="inlineStr">
        <is>
          <t>Hb,O3b</t>
        </is>
      </c>
      <c r="H37" s="5" t="inlineStr">
        <is>
          <t>B (sky)</t>
        </is>
      </c>
      <c r="I37" s="3" t="n">
        <v>0.657</v>
      </c>
      <c r="J37" s="4" t="inlineStr">
        <is>
          <t>Hb,O3b</t>
        </is>
      </c>
      <c r="K37" s="5" t="inlineStr">
        <is>
          <t>B (sky)</t>
        </is>
      </c>
      <c r="L37" s="3" t="n">
        <v>0.6575</v>
      </c>
      <c r="M37" s="4" t="inlineStr">
        <is>
          <t>Hb</t>
        </is>
      </c>
      <c r="N37" s="6" t="inlineStr">
        <is>
          <t>More than one target in this slit, other z=0.991 ([O II]; 2.5)</t>
        </is>
      </c>
      <c r="P37" t="n">
        <v>42.106013</v>
      </c>
      <c r="Q37" t="n">
        <v>-3.5026083</v>
      </c>
      <c r="R37" t="n">
        <v>9.936</v>
      </c>
      <c r="S37" t="n">
        <v>0.005</v>
      </c>
      <c r="T37" t="n">
        <v>-0.1086338959505158</v>
      </c>
      <c r="U37" t="n">
        <v>-0.1251</v>
      </c>
      <c r="V37" t="n">
        <v>0.0171</v>
      </c>
      <c r="W37" t="n">
        <v>-0.0252</v>
      </c>
      <c r="X37" t="n">
        <v>-0.07544681645156238</v>
      </c>
      <c r="Y37" t="n">
        <v>-0.09279999999999999</v>
      </c>
      <c r="Z37" t="n">
        <v>-0.0378</v>
      </c>
      <c r="AA37" t="n">
        <v>0.0446</v>
      </c>
      <c r="AB37" t="n">
        <v>-0.5375574060278412</v>
      </c>
      <c r="AC37" t="n">
        <v>-0.5191</v>
      </c>
      <c r="AD37" t="n">
        <v>-0.0313</v>
      </c>
      <c r="AE37" t="n">
        <v>0.0303</v>
      </c>
      <c r="AF37" t="n">
        <v>276.9765417249467</v>
      </c>
      <c r="AG37" t="n">
        <v>214.2901</v>
      </c>
      <c r="AH37" t="n">
        <v>-15.32</v>
      </c>
      <c r="AI37" t="n">
        <v>14.4308</v>
      </c>
      <c r="AJ37" t="n">
        <v>0.4129942855330402</v>
      </c>
      <c r="AK37" t="n">
        <v>0.429</v>
      </c>
      <c r="AL37" t="n">
        <v>-0.0406</v>
      </c>
      <c r="AM37" t="n">
        <v>0.0371</v>
      </c>
      <c r="AN37" t="n">
        <v>0.8747274940761152</v>
      </c>
      <c r="AO37" t="n">
        <v>0.8626</v>
      </c>
      <c r="AP37" t="n">
        <v>-0.0332</v>
      </c>
      <c r="AQ37" t="n">
        <v>0.0383</v>
      </c>
      <c r="AR37" t="n">
        <v>4.917484569889358</v>
      </c>
      <c r="AS37" t="n">
        <v>4.9174</v>
      </c>
      <c r="AT37" t="n">
        <v>-0.0047</v>
      </c>
      <c r="AU37" t="n">
        <v>0.0046</v>
      </c>
      <c r="AV37" t="n">
        <v>-0.1490042401196581</v>
      </c>
      <c r="AW37" t="n">
        <v>-0.1487</v>
      </c>
      <c r="AX37" t="n">
        <v>-0.0144</v>
      </c>
      <c r="AY37" t="n">
        <v>0.0148</v>
      </c>
      <c r="AZ37" t="n">
        <v>-0.2149923486153975</v>
      </c>
      <c r="BA37" t="n">
        <v>-0.2213</v>
      </c>
      <c r="BB37" t="n">
        <v>-0.0186</v>
      </c>
      <c r="BC37" t="n">
        <v>0.0195</v>
      </c>
      <c r="BD37" t="n">
        <v>0.9050856700835821</v>
      </c>
      <c r="BE37" t="n">
        <v>0.5931</v>
      </c>
      <c r="BF37" t="n">
        <v>-0.1073</v>
      </c>
      <c r="BG37" t="n">
        <v>0.1101</v>
      </c>
    </row>
    <row r="38" ht="27" customHeight="1" s="9">
      <c r="A38" s="3" t="n">
        <v>36</v>
      </c>
      <c r="B38" s="10">
        <f>IFERROR(AVERAGE(F38,L38,I38),"")</f>
        <v/>
      </c>
      <c r="C38" s="11" t="n">
        <v>3</v>
      </c>
      <c r="D38" s="11" t="inlineStr">
        <is>
          <t>AS</t>
        </is>
      </c>
      <c r="E38" s="5" t="inlineStr">
        <is>
          <t>E (fc)</t>
        </is>
      </c>
      <c r="H38" s="5" t="inlineStr">
        <is>
          <t>A</t>
        </is>
      </c>
      <c r="I38" s="3" t="n">
        <v>0.528</v>
      </c>
      <c r="J38" s="4" t="inlineStr">
        <is>
          <t>Hb,O3b</t>
        </is>
      </c>
      <c r="K38" s="5" t="inlineStr">
        <is>
          <t>E (fc)</t>
        </is>
      </c>
      <c r="N38" s="6" t="n"/>
      <c r="P38" t="n">
        <v>42.143129</v>
      </c>
      <c r="Q38" t="n">
        <v>-3.5236084</v>
      </c>
      <c r="R38" t="n">
        <v>9.564</v>
      </c>
      <c r="S38" t="n">
        <v>0.057</v>
      </c>
      <c r="T38" t="n">
        <v>-0.1398226643737598</v>
      </c>
      <c r="U38" t="n">
        <v>-0.1073</v>
      </c>
      <c r="V38" t="n">
        <v>-0.0284</v>
      </c>
      <c r="W38" t="n">
        <v>0.0352</v>
      </c>
      <c r="X38" t="n">
        <v>-0.1295788012701199</v>
      </c>
      <c r="Y38" t="n">
        <v>-0.09089999999999999</v>
      </c>
      <c r="Z38" t="n">
        <v>-0.0296</v>
      </c>
      <c r="AA38" t="n">
        <v>0.0298</v>
      </c>
      <c r="AB38" t="n">
        <v>-2.899652697248938</v>
      </c>
      <c r="AC38" t="n">
        <v>-2.9581</v>
      </c>
      <c r="AD38" t="n">
        <v>-0.07489999999999999</v>
      </c>
      <c r="AE38" t="n">
        <v>0.0689</v>
      </c>
      <c r="AF38" t="n">
        <v>180.4865656305213</v>
      </c>
      <c r="AG38" t="n">
        <v>139.2869</v>
      </c>
      <c r="AH38" t="n">
        <v>-14.2315</v>
      </c>
      <c r="AI38" t="n">
        <v>14.3052</v>
      </c>
      <c r="AJ38" t="n">
        <v>0.614146166623374</v>
      </c>
      <c r="AK38" t="n">
        <v>0.6782</v>
      </c>
      <c r="AL38" t="n">
        <v>-0.0414</v>
      </c>
      <c r="AM38" t="n">
        <v>0.0525</v>
      </c>
      <c r="AN38" t="n">
        <v>0.4589813525328971</v>
      </c>
      <c r="AO38" t="n">
        <v>0.4339</v>
      </c>
      <c r="AP38" t="n">
        <v>-0.0157</v>
      </c>
      <c r="AQ38" t="n">
        <v>0.0147</v>
      </c>
      <c r="AR38" t="n">
        <v>4.675105614680534</v>
      </c>
      <c r="AS38" t="n">
        <v>4.674</v>
      </c>
      <c r="AT38" t="n">
        <v>-0.0039</v>
      </c>
      <c r="AU38" t="n">
        <v>0.004</v>
      </c>
      <c r="AV38" t="n">
        <v>0.05859792487000104</v>
      </c>
      <c r="AW38" t="n">
        <v>0.0852</v>
      </c>
      <c r="AX38" t="n">
        <v>-0.041</v>
      </c>
      <c r="AY38" t="n">
        <v>0.0435</v>
      </c>
      <c r="AZ38" t="n">
        <v>0.3712320701981899</v>
      </c>
      <c r="BA38" t="n">
        <v>0.4079</v>
      </c>
      <c r="BB38" t="n">
        <v>-0.0246</v>
      </c>
      <c r="BC38" t="n">
        <v>0.0331</v>
      </c>
      <c r="BD38" t="n">
        <v>1.119132625558436</v>
      </c>
      <c r="BE38" t="n">
        <v>0.7378</v>
      </c>
      <c r="BF38" t="n">
        <v>-0.1643</v>
      </c>
      <c r="BG38" t="n">
        <v>0.2045</v>
      </c>
    </row>
    <row r="39" ht="27" customHeight="1" s="9">
      <c r="A39" s="3" t="n">
        <v>37</v>
      </c>
      <c r="B39" s="10">
        <f>IFERROR(AVERAGE(F39,L39,I39),"")</f>
        <v/>
      </c>
      <c r="C39" s="11" t="n"/>
      <c r="D39" s="11" t="inlineStr">
        <is>
          <t>E</t>
        </is>
      </c>
      <c r="E39" s="5" t="inlineStr">
        <is>
          <t>E (fc)</t>
        </is>
      </c>
      <c r="H39" s="5" t="inlineStr">
        <is>
          <t>E (fc)</t>
        </is>
      </c>
      <c r="I39" s="3" t="n"/>
      <c r="K39" s="5" t="inlineStr">
        <is>
          <t>E (fc)</t>
        </is>
      </c>
      <c r="N39" s="6" t="n"/>
      <c r="P39" t="n">
        <v>42.118264</v>
      </c>
      <c r="Q39" t="n">
        <v>-3.5148115</v>
      </c>
    </row>
    <row r="40" ht="27" customHeight="1" s="9">
      <c r="A40" s="3" t="n">
        <v>38</v>
      </c>
      <c r="B40" s="10">
        <f>IFERROR(AVERAGE(F40,L40,I40),"")</f>
        <v/>
      </c>
      <c r="C40" s="11" t="n"/>
      <c r="D40" s="11" t="inlineStr">
        <is>
          <t>E</t>
        </is>
      </c>
      <c r="E40" s="5" t="inlineStr">
        <is>
          <t>E (fc)</t>
        </is>
      </c>
      <c r="H40" s="5" t="inlineStr">
        <is>
          <t>E (fc)</t>
        </is>
      </c>
      <c r="I40" s="3" t="n"/>
      <c r="K40" s="5" t="inlineStr">
        <is>
          <t>E (fc)</t>
        </is>
      </c>
      <c r="N40" s="6" t="n"/>
      <c r="P40" t="n">
        <v>42.116043</v>
      </c>
      <c r="Q40" t="n">
        <v>-3.5170309</v>
      </c>
    </row>
    <row r="41" ht="27" customHeight="1" s="9">
      <c r="A41" s="3" t="n">
        <v>39</v>
      </c>
      <c r="B41" s="10">
        <f>IFERROR(AVERAGE(F41,L41,I41),"")</f>
        <v/>
      </c>
      <c r="C41" s="11" t="n">
        <v>3</v>
      </c>
      <c r="D41" s="11" t="inlineStr">
        <is>
          <t>A</t>
        </is>
      </c>
      <c r="E41" s="5" t="inlineStr">
        <is>
          <t>B (sky)</t>
        </is>
      </c>
      <c r="F41" s="3" t="n">
        <v>0.5659999999999999</v>
      </c>
      <c r="G41" s="4" t="inlineStr">
        <is>
          <t>O3b</t>
        </is>
      </c>
      <c r="H41" s="5" t="inlineStr">
        <is>
          <t>A</t>
        </is>
      </c>
      <c r="I41" s="3" t="n">
        <v>0.5669999999999999</v>
      </c>
      <c r="J41" s="4" t="inlineStr">
        <is>
          <t>Hb,O3a,O3b</t>
        </is>
      </c>
      <c r="K41" s="5" t="inlineStr">
        <is>
          <t>A</t>
        </is>
      </c>
      <c r="L41" s="3" t="n">
        <v>0.5665</v>
      </c>
      <c r="M41" s="4" t="inlineStr">
        <is>
          <t>Hb,O3b</t>
        </is>
      </c>
      <c r="N41" s="6" t="n"/>
      <c r="O41" s="4" t="inlineStr">
        <is>
          <t>Hb,O3a</t>
        </is>
      </c>
      <c r="P41" t="n">
        <v>42.090057</v>
      </c>
      <c r="Q41" t="n">
        <v>-3.5078301</v>
      </c>
      <c r="R41" t="n">
        <v>9.307</v>
      </c>
      <c r="S41" t="n">
        <v>0.099</v>
      </c>
      <c r="T41" t="n">
        <v>-0.04564866409985925</v>
      </c>
      <c r="U41" t="n">
        <v>-0.0061</v>
      </c>
      <c r="V41" t="n">
        <v>-0.0348</v>
      </c>
      <c r="W41" t="n">
        <v>0.0389</v>
      </c>
      <c r="X41" t="n">
        <v>0.01347230440343025</v>
      </c>
      <c r="Y41" t="n">
        <v>-0.0663</v>
      </c>
      <c r="Z41" t="n">
        <v>-0.0507</v>
      </c>
      <c r="AA41" t="n">
        <v>0.053</v>
      </c>
      <c r="AB41" t="n">
        <v>1.01871505271377</v>
      </c>
      <c r="AC41" t="n">
        <v>1.0189</v>
      </c>
      <c r="AD41" t="n">
        <v>-0.0501</v>
      </c>
      <c r="AE41" t="n">
        <v>0.0485</v>
      </c>
      <c r="AF41" t="n">
        <v>140.4160697021011</v>
      </c>
      <c r="AG41" t="n">
        <v>117.161</v>
      </c>
      <c r="AH41" t="n">
        <v>-8.634499999999999</v>
      </c>
      <c r="AI41" t="n">
        <v>9.6951</v>
      </c>
      <c r="AJ41" t="n">
        <v>0.6986624901004647</v>
      </c>
      <c r="AK41" t="n">
        <v>0.5658</v>
      </c>
      <c r="AL41" t="n">
        <v>-0.06519999999999999</v>
      </c>
      <c r="AM41" t="n">
        <v>0.0781</v>
      </c>
      <c r="AN41" t="n">
        <v>0.63691073933915</v>
      </c>
      <c r="AO41" t="n">
        <v>0.6947</v>
      </c>
      <c r="AP41" t="n">
        <v>-0.0408</v>
      </c>
      <c r="AQ41" t="n">
        <v>0.0409</v>
      </c>
      <c r="AR41" t="n">
        <v>4.653180166139883</v>
      </c>
      <c r="AS41" t="n">
        <v>4.6466</v>
      </c>
      <c r="AT41" t="n">
        <v>-0.0059</v>
      </c>
      <c r="AU41" t="n">
        <v>0.0061</v>
      </c>
      <c r="AV41" t="n">
        <v>0.2135258287237256</v>
      </c>
      <c r="AW41" t="n">
        <v>0.2154</v>
      </c>
      <c r="AX41" t="n">
        <v>-0.022</v>
      </c>
      <c r="AY41" t="n">
        <v>0.0221</v>
      </c>
      <c r="AZ41" t="n">
        <v>-0.2946142441243944</v>
      </c>
      <c r="BA41" t="n">
        <v>-0.2441</v>
      </c>
      <c r="BB41" t="n">
        <v>-0.0337</v>
      </c>
      <c r="BC41" t="n">
        <v>0.0269</v>
      </c>
      <c r="BD41" t="n">
        <v>0.4912943692733497</v>
      </c>
      <c r="BE41" t="n">
        <v>0.4619</v>
      </c>
      <c r="BF41" t="n">
        <v>-0.09569999999999999</v>
      </c>
      <c r="BG41" t="n">
        <v>0.1017</v>
      </c>
    </row>
    <row r="42" ht="27" customHeight="1" s="9">
      <c r="A42" s="3" t="n">
        <v>40</v>
      </c>
      <c r="B42" s="10">
        <f>IFERROR(AVERAGE(F42,L42,I42),"")</f>
        <v/>
      </c>
      <c r="C42" s="11" t="n">
        <v>3</v>
      </c>
      <c r="D42" s="11" t="inlineStr">
        <is>
          <t>A</t>
        </is>
      </c>
      <c r="E42" s="5" t="inlineStr">
        <is>
          <t>A</t>
        </is>
      </c>
      <c r="F42" s="3" t="n">
        <v>0.615</v>
      </c>
      <c r="G42" s="4" t="inlineStr">
        <is>
          <t>O3b</t>
        </is>
      </c>
      <c r="H42" s="5" t="inlineStr">
        <is>
          <t>B (sky)</t>
        </is>
      </c>
      <c r="I42" s="3" t="n">
        <v>0.614</v>
      </c>
      <c r="J42" s="4" t="inlineStr">
        <is>
          <t>Hb,O3a,O3b</t>
        </is>
      </c>
      <c r="K42" s="5" t="inlineStr">
        <is>
          <t>A</t>
        </is>
      </c>
      <c r="L42" s="3" t="n">
        <v>0.6145</v>
      </c>
      <c r="M42" s="4" t="inlineStr">
        <is>
          <t>Hb,O3a,O3b</t>
        </is>
      </c>
      <c r="N42" s="6" t="n"/>
      <c r="O42" s="4" t="inlineStr">
        <is>
          <t>O3a</t>
        </is>
      </c>
      <c r="P42" t="n">
        <v>42.12342</v>
      </c>
      <c r="Q42" t="n">
        <v>-3.5274752</v>
      </c>
      <c r="R42" t="n">
        <v>9.526</v>
      </c>
      <c r="S42" t="n">
        <v>0.129</v>
      </c>
      <c r="T42" t="n">
        <v>-0.1099253728344431</v>
      </c>
      <c r="U42" t="n">
        <v>-0.08500000000000001</v>
      </c>
      <c r="V42" t="n">
        <v>-0.0204</v>
      </c>
      <c r="W42" t="n">
        <v>0.0209</v>
      </c>
      <c r="X42" t="n">
        <v>0.1496444822752765</v>
      </c>
      <c r="Y42" t="n">
        <v>0.1486</v>
      </c>
      <c r="Z42" t="n">
        <v>0.0021</v>
      </c>
      <c r="AA42" t="n">
        <v>-0.0011</v>
      </c>
      <c r="AB42" t="n">
        <v>1.761250342887968</v>
      </c>
      <c r="AC42" t="n">
        <v>1.7614</v>
      </c>
      <c r="AD42" t="n">
        <v>-0.0229</v>
      </c>
      <c r="AE42" t="n">
        <v>0.0227</v>
      </c>
      <c r="AF42" t="n">
        <v>197.9641176366172</v>
      </c>
      <c r="AG42" t="n">
        <v>163.251</v>
      </c>
      <c r="AH42" t="n">
        <v>-12.1109</v>
      </c>
      <c r="AI42" t="n">
        <v>10.7861</v>
      </c>
      <c r="AJ42" t="n">
        <v>0.9156077678021134</v>
      </c>
      <c r="AK42" t="n">
        <v>0.878</v>
      </c>
      <c r="AL42" t="n">
        <v>-0.0222</v>
      </c>
      <c r="AM42" t="n">
        <v>0.0187</v>
      </c>
      <c r="AN42" t="n">
        <v>1.168872303559364</v>
      </c>
      <c r="AO42" t="n">
        <v>1.1559</v>
      </c>
      <c r="AP42" t="n">
        <v>-0.0317</v>
      </c>
      <c r="AQ42" t="n">
        <v>0.0345</v>
      </c>
      <c r="AR42" t="n">
        <v>4.759271839223288</v>
      </c>
      <c r="AS42" t="n">
        <v>4.7459</v>
      </c>
      <c r="AT42" t="n">
        <v>-0.0118</v>
      </c>
      <c r="AU42" t="n">
        <v>0.0119</v>
      </c>
      <c r="AV42" t="n">
        <v>0.06927419554271297</v>
      </c>
      <c r="AW42" t="n">
        <v>0.0664</v>
      </c>
      <c r="AX42" t="n">
        <v>-0.0131</v>
      </c>
      <c r="AY42" t="n">
        <v>0.0132</v>
      </c>
      <c r="AZ42" t="n">
        <v>0.01810160944830264</v>
      </c>
      <c r="BA42" t="n">
        <v>0.0156</v>
      </c>
      <c r="BB42" t="n">
        <v>-0.0141</v>
      </c>
      <c r="BC42" t="n">
        <v>0.0138</v>
      </c>
      <c r="BD42" t="n">
        <v>0.8277319161812479</v>
      </c>
      <c r="BE42" t="n">
        <v>0.7789</v>
      </c>
      <c r="BF42" t="n">
        <v>-0.108</v>
      </c>
      <c r="BG42" t="n">
        <v>0.1204</v>
      </c>
    </row>
    <row r="43" ht="27" customHeight="1" s="9">
      <c r="A43" s="3" t="n">
        <v>41</v>
      </c>
      <c r="B43" s="10">
        <f>IFERROR(AVERAGE(F43,L43,I43),"")</f>
        <v/>
      </c>
      <c r="C43" s="11" t="n"/>
      <c r="D43" s="11" t="inlineStr">
        <is>
          <t>E</t>
        </is>
      </c>
      <c r="E43" s="5" t="inlineStr">
        <is>
          <t>E (fc)</t>
        </is>
      </c>
      <c r="H43" s="5" t="inlineStr">
        <is>
          <t>E (fc)</t>
        </is>
      </c>
      <c r="I43" s="3" t="n"/>
      <c r="K43" s="5" t="inlineStr">
        <is>
          <t>E (fc)</t>
        </is>
      </c>
      <c r="N43" s="6" t="n"/>
      <c r="P43" t="n">
        <v>42.14458</v>
      </c>
      <c r="Q43" t="n">
        <v>-3.541098</v>
      </c>
    </row>
    <row r="44" ht="27" customHeight="1" s="9">
      <c r="A44" s="3" t="n">
        <v>42</v>
      </c>
      <c r="B44" s="10">
        <f>IFERROR(AVERAGE(F44,L44,I44),"")</f>
        <v/>
      </c>
      <c r="C44" s="11" t="n">
        <v>3</v>
      </c>
      <c r="D44" s="11" t="inlineStr">
        <is>
          <t>B</t>
        </is>
      </c>
      <c r="E44" s="5" t="inlineStr">
        <is>
          <t>F (ns)</t>
        </is>
      </c>
      <c r="H44" s="5" t="inlineStr">
        <is>
          <t>B (sky)</t>
        </is>
      </c>
      <c r="I44" s="3" t="n">
        <v>0.61</v>
      </c>
      <c r="J44" s="4" t="inlineStr">
        <is>
          <t>Hb,O3a,O3b</t>
        </is>
      </c>
      <c r="K44" s="5" t="inlineStr">
        <is>
          <t>B (sky)</t>
        </is>
      </c>
      <c r="L44" s="3" t="n">
        <v>0.61</v>
      </c>
      <c r="M44" s="4" t="inlineStr">
        <is>
          <t>Hb,O3b</t>
        </is>
      </c>
      <c r="N44" s="6" t="n"/>
      <c r="O44" s="4" t="inlineStr">
        <is>
          <t>O3a</t>
        </is>
      </c>
      <c r="P44" t="n">
        <v>42.105343</v>
      </c>
      <c r="Q44" t="n">
        <v>-3.5256263</v>
      </c>
      <c r="R44" t="n">
        <v>9.052</v>
      </c>
      <c r="S44" t="n">
        <v>0.098</v>
      </c>
      <c r="T44" t="n">
        <v>-0.137772629244617</v>
      </c>
      <c r="U44" t="n">
        <v>-0.0355</v>
      </c>
      <c r="V44" t="n">
        <v>-0.0587</v>
      </c>
      <c r="W44" t="n">
        <v>0.0646</v>
      </c>
      <c r="X44" t="n">
        <v>-0.08516044902176681</v>
      </c>
      <c r="Y44" t="n">
        <v>-0.0048</v>
      </c>
      <c r="Z44" t="n">
        <v>-0.0689</v>
      </c>
      <c r="AA44" t="n">
        <v>0.07000000000000001</v>
      </c>
      <c r="AB44" t="n">
        <v>1.981711305891765</v>
      </c>
      <c r="AC44" t="n">
        <v>1.9701</v>
      </c>
      <c r="AD44" t="n">
        <v>-0.0573</v>
      </c>
      <c r="AE44" t="n">
        <v>0.0553</v>
      </c>
      <c r="AF44" t="n">
        <v>185.5347566740198</v>
      </c>
      <c r="AG44" t="n">
        <v>136.2965</v>
      </c>
      <c r="AH44" t="n">
        <v>-10.9708</v>
      </c>
      <c r="AI44" t="n">
        <v>10.2551</v>
      </c>
      <c r="AJ44" t="n">
        <v>0.4624972805852257</v>
      </c>
      <c r="AK44" t="n">
        <v>0.3653</v>
      </c>
      <c r="AL44" t="n">
        <v>-0.0619</v>
      </c>
      <c r="AM44" t="n">
        <v>0.0733</v>
      </c>
      <c r="AN44" t="n">
        <v>0.4814946436126699</v>
      </c>
      <c r="AO44" t="n">
        <v>0.5489000000000001</v>
      </c>
      <c r="AP44" t="n">
        <v>-0.0445</v>
      </c>
      <c r="AQ44" t="n">
        <v>0.0465</v>
      </c>
      <c r="AR44" t="n">
        <v>4.266370195806184</v>
      </c>
      <c r="AS44" t="n">
        <v>4.2691</v>
      </c>
      <c r="AT44" t="n">
        <v>-0.0091</v>
      </c>
      <c r="AU44" t="n">
        <v>0.008999999999999999</v>
      </c>
      <c r="AV44" t="n">
        <v>0.2966732532570155</v>
      </c>
      <c r="AW44" t="n">
        <v>0.3067</v>
      </c>
      <c r="AX44" t="n">
        <v>-0.0187</v>
      </c>
      <c r="AY44" t="n">
        <v>0.0191</v>
      </c>
      <c r="AZ44" t="n">
        <v>-0.03274644555184514</v>
      </c>
      <c r="BA44" t="n">
        <v>-0.0274</v>
      </c>
      <c r="BB44" t="n">
        <v>-0.014</v>
      </c>
      <c r="BC44" t="n">
        <v>0.0137</v>
      </c>
      <c r="BD44" t="n">
        <v>0.8573198378144916</v>
      </c>
      <c r="BE44" t="n">
        <v>0.7423999999999999</v>
      </c>
      <c r="BF44" t="n">
        <v>-0.1372</v>
      </c>
      <c r="BG44" t="n">
        <v>0.1572</v>
      </c>
    </row>
    <row r="45" ht="27" customHeight="1" s="9">
      <c r="A45" s="3" t="n">
        <v>43</v>
      </c>
      <c r="B45" s="10">
        <f>IFERROR(AVERAGE(F45,L45,I45),"")</f>
        <v/>
      </c>
      <c r="C45" s="11" t="n">
        <v>3</v>
      </c>
      <c r="D45" s="11" t="inlineStr">
        <is>
          <t>A</t>
        </is>
      </c>
      <c r="E45" s="5" t="inlineStr">
        <is>
          <t>F (ns)</t>
        </is>
      </c>
      <c r="H45" s="5" t="inlineStr">
        <is>
          <t>A</t>
        </is>
      </c>
      <c r="I45" s="3" t="n">
        <v>0.5600000000000001</v>
      </c>
      <c r="J45" s="4" t="inlineStr">
        <is>
          <t>Hb,O3b</t>
        </is>
      </c>
      <c r="K45" s="5" t="inlineStr">
        <is>
          <t>A</t>
        </is>
      </c>
      <c r="L45" s="3" t="n">
        <v>0.5605</v>
      </c>
      <c r="M45" s="4" t="inlineStr">
        <is>
          <t>Hb,O3b</t>
        </is>
      </c>
      <c r="N45" s="6" t="n"/>
      <c r="P45" t="n">
        <v>42.159774</v>
      </c>
      <c r="Q45" t="n">
        <v>-3.5557321</v>
      </c>
      <c r="R45" t="n">
        <v>9.112</v>
      </c>
      <c r="S45" t="n">
        <v>0.09</v>
      </c>
      <c r="T45" t="n">
        <v>0.04449384011970786</v>
      </c>
      <c r="U45" t="n">
        <v>0.07779999999999999</v>
      </c>
      <c r="V45" t="n">
        <v>-0.04</v>
      </c>
      <c r="W45" t="n">
        <v>0.0431</v>
      </c>
      <c r="X45" t="n">
        <v>0.07398912263614582</v>
      </c>
      <c r="Y45" t="n">
        <v>0.07820000000000001</v>
      </c>
      <c r="Z45" t="n">
        <v>-0.0339</v>
      </c>
      <c r="AA45" t="n">
        <v>0.0382</v>
      </c>
      <c r="AB45" t="n">
        <v>1.750923579078592</v>
      </c>
      <c r="AC45" t="n">
        <v>1.7555</v>
      </c>
      <c r="AD45" t="n">
        <v>-0.1323</v>
      </c>
      <c r="AE45" t="n">
        <v>0.1111</v>
      </c>
      <c r="AF45" t="n">
        <v>89.84610062207894</v>
      </c>
      <c r="AG45" t="n">
        <v>86.0063</v>
      </c>
      <c r="AH45" t="n">
        <v>-10.6391</v>
      </c>
      <c r="AI45" t="n">
        <v>12.1587</v>
      </c>
      <c r="AJ45" t="n">
        <v>0.8311068519054172</v>
      </c>
      <c r="AK45" t="n">
        <v>0.7719</v>
      </c>
      <c r="AL45" t="n">
        <v>-0.0673</v>
      </c>
      <c r="AM45" t="n">
        <v>0.0708</v>
      </c>
      <c r="AN45" t="n">
        <v>0.3983546025996266</v>
      </c>
      <c r="AO45" t="n">
        <v>0.415</v>
      </c>
      <c r="AP45" t="n">
        <v>-0.0184</v>
      </c>
      <c r="AQ45" t="n">
        <v>0.0199</v>
      </c>
      <c r="AR45" t="n">
        <v>4.424958907773654</v>
      </c>
      <c r="AS45" t="n">
        <v>4.4258</v>
      </c>
      <c r="AT45" t="n">
        <v>-0.0055</v>
      </c>
      <c r="AU45" t="n">
        <v>0.0058</v>
      </c>
      <c r="AV45" t="n">
        <v>0.4679361790760193</v>
      </c>
      <c r="AW45" t="n">
        <v>0.4596</v>
      </c>
      <c r="AX45" t="n">
        <v>-0.0284</v>
      </c>
      <c r="AY45" t="n">
        <v>0.024</v>
      </c>
      <c r="AZ45" t="n">
        <v>-0.1553173295989005</v>
      </c>
      <c r="BA45" t="n">
        <v>-0.1254</v>
      </c>
      <c r="BB45" t="n">
        <v>-0.0534</v>
      </c>
      <c r="BC45" t="n">
        <v>0.0454</v>
      </c>
      <c r="BD45" t="n">
        <v>0.5521855574083467</v>
      </c>
      <c r="BE45" t="n">
        <v>0.8714</v>
      </c>
      <c r="BF45" t="n">
        <v>-0.3209</v>
      </c>
      <c r="BG45" t="n">
        <v>0.3742</v>
      </c>
    </row>
    <row r="46" ht="27" customHeight="1" s="9">
      <c r="A46" s="3" t="n">
        <v>44</v>
      </c>
      <c r="B46" s="10">
        <f>IFERROR(AVERAGE(F46,L46,I46),"")</f>
        <v/>
      </c>
      <c r="C46" s="11" t="n"/>
      <c r="D46" s="11" t="inlineStr">
        <is>
          <t>E</t>
        </is>
      </c>
      <c r="E46" s="5" t="inlineStr">
        <is>
          <t>E (fc)</t>
        </is>
      </c>
      <c r="H46" s="5" t="inlineStr">
        <is>
          <t>E (fc)</t>
        </is>
      </c>
      <c r="I46" s="3" t="n"/>
      <c r="K46" s="5" t="inlineStr">
        <is>
          <t>E (fc)</t>
        </is>
      </c>
      <c r="N46" s="6" t="n"/>
      <c r="P46" t="n">
        <v>42.145119</v>
      </c>
      <c r="Q46" t="n">
        <v>-3.5520877</v>
      </c>
    </row>
    <row r="47" ht="27" customHeight="1" s="9">
      <c r="A47" s="3" t="n">
        <v>45</v>
      </c>
      <c r="B47" s="10">
        <f>IFERROR(AVERAGE(F47,L47,I47),"")</f>
        <v/>
      </c>
      <c r="C47" s="11" t="n">
        <v>3</v>
      </c>
      <c r="D47" s="11" t="inlineStr">
        <is>
          <t>A</t>
        </is>
      </c>
      <c r="E47" s="5" t="inlineStr">
        <is>
          <t>A</t>
        </is>
      </c>
      <c r="F47" s="3" t="n">
        <v>0.607</v>
      </c>
      <c r="G47" s="4" t="inlineStr">
        <is>
          <t>Hb,O3b</t>
        </is>
      </c>
      <c r="H47" s="5" t="inlineStr">
        <is>
          <t>A</t>
        </is>
      </c>
      <c r="I47" s="3" t="n">
        <v>0.606</v>
      </c>
      <c r="J47" s="4" t="inlineStr">
        <is>
          <t>Hb,O3b</t>
        </is>
      </c>
      <c r="K47" s="5" t="inlineStr">
        <is>
          <t>A</t>
        </is>
      </c>
      <c r="L47" s="3" t="n">
        <v>0.606</v>
      </c>
      <c r="M47" s="4" t="inlineStr">
        <is>
          <t>Hb,O3b</t>
        </is>
      </c>
      <c r="N47" s="6" t="n"/>
      <c r="P47" t="n">
        <v>42.120297</v>
      </c>
      <c r="Q47" t="n">
        <v>-3.543515</v>
      </c>
      <c r="R47" t="n">
        <v>9.680999999999999</v>
      </c>
      <c r="S47" t="n">
        <v>0.074</v>
      </c>
    </row>
    <row r="48" ht="27" customHeight="1" s="9">
      <c r="A48" s="3" t="n">
        <v>46</v>
      </c>
      <c r="B48" s="10">
        <f>IFERROR(AVERAGE(F48,L48,I48),"")</f>
        <v/>
      </c>
      <c r="C48" s="11" t="n"/>
      <c r="D48" s="11" t="inlineStr">
        <is>
          <t>E</t>
        </is>
      </c>
      <c r="E48" s="5" t="inlineStr">
        <is>
          <t>E (fc)</t>
        </is>
      </c>
      <c r="H48" s="5" t="inlineStr">
        <is>
          <t>E (fc)</t>
        </is>
      </c>
      <c r="I48" s="3" t="n"/>
      <c r="K48" s="5" t="inlineStr">
        <is>
          <t>E (fc)</t>
        </is>
      </c>
      <c r="N48" s="6" t="n"/>
      <c r="P48" t="n">
        <v>42.124217</v>
      </c>
      <c r="Q48" t="n">
        <v>-3.5485937</v>
      </c>
    </row>
    <row r="49" ht="27" customHeight="1" s="9">
      <c r="A49" s="3" t="n">
        <v>47</v>
      </c>
      <c r="B49" s="10">
        <f>IFERROR(AVERAGE(F49,L49,I49),"")</f>
        <v/>
      </c>
      <c r="C49" s="11" t="n">
        <v>3</v>
      </c>
      <c r="D49" s="11" t="inlineStr">
        <is>
          <t>A</t>
        </is>
      </c>
      <c r="E49" s="5" t="inlineStr">
        <is>
          <t>B (sky)</t>
        </is>
      </c>
      <c r="F49" s="3" t="n">
        <v>0.7845</v>
      </c>
      <c r="G49" s="4" t="inlineStr">
        <is>
          <t>O3b</t>
        </is>
      </c>
      <c r="H49" s="5" t="inlineStr">
        <is>
          <t>B (sky)</t>
        </is>
      </c>
      <c r="I49" s="3" t="n">
        <v>0.784</v>
      </c>
      <c r="J49" s="4" t="inlineStr">
        <is>
          <t>O3b</t>
        </is>
      </c>
      <c r="K49" s="5" t="inlineStr">
        <is>
          <t>A</t>
        </is>
      </c>
      <c r="L49" s="3" t="n">
        <v>0.7835</v>
      </c>
      <c r="M49" s="4" t="inlineStr">
        <is>
          <t>Hb,O3b</t>
        </is>
      </c>
      <c r="N49" s="6" t="n"/>
      <c r="P49" t="n">
        <v>42.104541</v>
      </c>
      <c r="Q49" t="n">
        <v>-3.5423152</v>
      </c>
      <c r="R49" t="n">
        <v>9.951000000000001</v>
      </c>
      <c r="S49" t="n">
        <v>0.059</v>
      </c>
      <c r="T49" t="n">
        <v>-0.1119017974242371</v>
      </c>
      <c r="U49" t="n">
        <v>-0.1267</v>
      </c>
      <c r="V49" t="n">
        <v>0.017</v>
      </c>
      <c r="W49" t="n">
        <v>-0.0313</v>
      </c>
      <c r="X49" t="n">
        <v>-0.01184354465000428</v>
      </c>
      <c r="Y49" t="n">
        <v>-0.0158</v>
      </c>
      <c r="Z49" t="n">
        <v>-0.0186</v>
      </c>
      <c r="AA49" t="n">
        <v>0.0162</v>
      </c>
      <c r="AB49" t="n">
        <v>-3.119765020047387</v>
      </c>
      <c r="AC49" t="n">
        <v>-3.1088</v>
      </c>
      <c r="AD49" t="n">
        <v>-0.0201</v>
      </c>
      <c r="AE49" t="n">
        <v>0.0259</v>
      </c>
      <c r="AF49" t="n">
        <v>284.728727558723</v>
      </c>
      <c r="AG49" t="n">
        <v>243.068</v>
      </c>
      <c r="AH49" t="n">
        <v>-14.5738</v>
      </c>
      <c r="AI49" t="n">
        <v>12.6256</v>
      </c>
      <c r="AJ49" t="n">
        <v>0.5033780307754434</v>
      </c>
      <c r="AK49" t="n">
        <v>0.5102</v>
      </c>
      <c r="AL49" t="n">
        <v>-0.0242</v>
      </c>
      <c r="AM49" t="n">
        <v>0.0355</v>
      </c>
      <c r="AN49" t="n">
        <v>1.049825838183202</v>
      </c>
      <c r="AO49" t="n">
        <v>1.0414</v>
      </c>
      <c r="AP49" t="n">
        <v>-0.0343</v>
      </c>
      <c r="AQ49" t="n">
        <v>0.0284</v>
      </c>
      <c r="AR49" t="n">
        <v>4.781792163230033</v>
      </c>
      <c r="AS49" t="n">
        <v>4.7833</v>
      </c>
      <c r="AT49" t="n">
        <v>-0.0069</v>
      </c>
      <c r="AU49" t="n">
        <v>0.0071</v>
      </c>
      <c r="AV49" t="n">
        <v>0.1944239122342217</v>
      </c>
      <c r="AW49" t="n">
        <v>0.1991</v>
      </c>
      <c r="AX49" t="n">
        <v>-0.0125</v>
      </c>
      <c r="AY49" t="n">
        <v>0.0128</v>
      </c>
      <c r="AZ49" t="n">
        <v>0.1085428046929526</v>
      </c>
      <c r="BA49" t="n">
        <v>0.1119</v>
      </c>
      <c r="BB49" t="n">
        <v>-0.008699999999999999</v>
      </c>
      <c r="BC49" t="n">
        <v>0.009599999999999999</v>
      </c>
      <c r="BD49" t="n">
        <v>0.9964768497641241</v>
      </c>
      <c r="BE49" t="n">
        <v>0.6974</v>
      </c>
      <c r="BF49" t="n">
        <v>-0.1025</v>
      </c>
      <c r="BG49" t="n">
        <v>0.0984</v>
      </c>
    </row>
    <row r="50" ht="27" customHeight="1" s="9">
      <c r="A50" s="3" t="n">
        <v>48</v>
      </c>
      <c r="B50" s="10">
        <f>IFERROR(AVERAGE(F50,L50,I50),"")</f>
        <v/>
      </c>
      <c r="C50" s="11" t="n">
        <v>3</v>
      </c>
      <c r="D50" s="11" t="inlineStr">
        <is>
          <t>A</t>
        </is>
      </c>
      <c r="E50" s="5" t="inlineStr">
        <is>
          <t>F (ns)</t>
        </is>
      </c>
      <c r="H50" s="5" t="inlineStr">
        <is>
          <t>A</t>
        </is>
      </c>
      <c r="I50" s="3" t="n">
        <v>0.784</v>
      </c>
      <c r="J50" s="4" t="inlineStr">
        <is>
          <t>Hb,O3b</t>
        </is>
      </c>
      <c r="K50" s="5" t="inlineStr">
        <is>
          <t>A</t>
        </is>
      </c>
      <c r="L50" s="3" t="n">
        <v>0.7845</v>
      </c>
      <c r="M50" s="4" t="inlineStr">
        <is>
          <t>O3b</t>
        </is>
      </c>
      <c r="N50" s="6" t="n"/>
      <c r="O50" s="4" t="inlineStr">
        <is>
          <t>Hb</t>
        </is>
      </c>
      <c r="P50" t="n">
        <v>42.123729</v>
      </c>
      <c r="Q50" t="n">
        <v>-3.5544001</v>
      </c>
      <c r="R50" t="n">
        <v>9.574999999999999</v>
      </c>
      <c r="S50" t="n">
        <v>0.101</v>
      </c>
      <c r="T50" t="n">
        <v>-0.04202025693631066</v>
      </c>
      <c r="U50" t="n">
        <v>-0.0024</v>
      </c>
      <c r="V50" t="n">
        <v>-0.0489</v>
      </c>
      <c r="W50" t="n">
        <v>0.0425</v>
      </c>
      <c r="X50" t="n">
        <v>-0.1482519197092594</v>
      </c>
      <c r="Y50" t="n">
        <v>-0.1083</v>
      </c>
      <c r="Z50" t="n">
        <v>0.0301</v>
      </c>
      <c r="AA50" t="n">
        <v>-0.0467</v>
      </c>
      <c r="AB50" t="n">
        <v>0.5204949627019428</v>
      </c>
      <c r="AC50" t="n">
        <v>0.5301</v>
      </c>
      <c r="AD50" t="n">
        <v>-0.05</v>
      </c>
      <c r="AE50" t="n">
        <v>0.0495</v>
      </c>
      <c r="AF50" t="n">
        <v>357.2042094892637</v>
      </c>
      <c r="AG50" t="n">
        <v>303.6884</v>
      </c>
      <c r="AH50" t="n">
        <v>-21.5401</v>
      </c>
      <c r="AI50" t="n">
        <v>20.2839</v>
      </c>
      <c r="AJ50" t="n">
        <v>0.3501282470586737</v>
      </c>
      <c r="AK50" t="n">
        <v>0.3895</v>
      </c>
      <c r="AL50" t="n">
        <v>-0.0343</v>
      </c>
      <c r="AM50" t="n">
        <v>0.0462</v>
      </c>
      <c r="AN50" t="n">
        <v>0.7735844649465466</v>
      </c>
      <c r="AO50" t="n">
        <v>0.731</v>
      </c>
      <c r="AP50" t="n">
        <v>-0.0368</v>
      </c>
      <c r="AQ50" t="n">
        <v>0.0306</v>
      </c>
      <c r="AR50" t="n">
        <v>4.596665766295716</v>
      </c>
      <c r="AS50" t="n">
        <v>4.5934</v>
      </c>
      <c r="AT50" t="n">
        <v>-0.005</v>
      </c>
      <c r="AU50" t="n">
        <v>0.0052</v>
      </c>
      <c r="AV50" t="n">
        <v>0.03067301239179399</v>
      </c>
      <c r="AW50" t="n">
        <v>0.036</v>
      </c>
      <c r="AX50" t="n">
        <v>-0.0199</v>
      </c>
      <c r="AY50" t="n">
        <v>0.0193</v>
      </c>
      <c r="AZ50" t="n">
        <v>-0.1549855442456878</v>
      </c>
      <c r="BA50" t="n">
        <v>-0.172</v>
      </c>
      <c r="BB50" t="n">
        <v>-0.0185</v>
      </c>
      <c r="BC50" t="n">
        <v>0.0141</v>
      </c>
      <c r="BD50" t="n">
        <v>1.710410530963244</v>
      </c>
      <c r="BE50" t="n">
        <v>1.3324</v>
      </c>
      <c r="BF50" t="n">
        <v>-0.1426</v>
      </c>
      <c r="BG50" t="n">
        <v>0.1406</v>
      </c>
    </row>
    <row r="51" ht="27" customHeight="1" s="9">
      <c r="A51" s="3" t="n">
        <v>49</v>
      </c>
      <c r="B51" s="10">
        <f>IFERROR(AVERAGE(F51,L51,I51),"")</f>
        <v/>
      </c>
      <c r="C51" s="11" t="n">
        <v>3</v>
      </c>
      <c r="D51" s="11" t="inlineStr">
        <is>
          <t>B</t>
        </is>
      </c>
      <c r="E51" s="5" t="inlineStr">
        <is>
          <t>F (ns)</t>
        </is>
      </c>
      <c r="H51" s="5" t="inlineStr">
        <is>
          <t>B (sky)</t>
        </is>
      </c>
      <c r="I51" s="3" t="n">
        <v>0.666</v>
      </c>
      <c r="J51" s="4" t="inlineStr">
        <is>
          <t>Hb,O3b</t>
        </is>
      </c>
      <c r="K51" s="5" t="inlineStr">
        <is>
          <t>B (sky)</t>
        </is>
      </c>
      <c r="L51" s="3" t="n">
        <v>0.666</v>
      </c>
      <c r="M51" s="4" t="inlineStr">
        <is>
          <t>Hb,O3b</t>
        </is>
      </c>
      <c r="N51" s="6" t="n"/>
      <c r="O51" s="4" t="inlineStr">
        <is>
          <t>O3b</t>
        </is>
      </c>
      <c r="P51" t="n">
        <v>42.185382</v>
      </c>
      <c r="Q51" t="n">
        <v>-3.5879475</v>
      </c>
      <c r="R51" t="n">
        <v>9.49</v>
      </c>
      <c r="S51" t="n">
        <v>0.048</v>
      </c>
      <c r="T51" t="n">
        <v>0.06369970336607142</v>
      </c>
      <c r="U51" t="n">
        <v>0.0511</v>
      </c>
      <c r="V51" t="n">
        <v>-0.0417</v>
      </c>
      <c r="W51" t="n">
        <v>0.0521</v>
      </c>
      <c r="X51" t="n">
        <v>0.1242668010714885</v>
      </c>
      <c r="Y51" t="n">
        <v>0.0438</v>
      </c>
      <c r="Z51" t="n">
        <v>-0.0388</v>
      </c>
      <c r="AA51" t="n">
        <v>0.0527</v>
      </c>
      <c r="AB51" t="n">
        <v>2.227859178359524</v>
      </c>
      <c r="AC51" t="n">
        <v>2.0524</v>
      </c>
      <c r="AD51" t="n">
        <v>-0.5374</v>
      </c>
      <c r="AE51" t="n">
        <v>0.529</v>
      </c>
      <c r="AF51" t="n">
        <v>108.9767465665133</v>
      </c>
      <c r="AG51" t="n">
        <v>101.4641</v>
      </c>
      <c r="AH51" t="n">
        <v>-12.2645</v>
      </c>
      <c r="AI51" t="n">
        <v>14.9739</v>
      </c>
      <c r="AJ51" t="n">
        <v>0.7870858684601841</v>
      </c>
      <c r="AK51" t="n">
        <v>0.8895999999999999</v>
      </c>
      <c r="AL51" t="n">
        <v>-0.0867</v>
      </c>
      <c r="AM51" t="n">
        <v>0.0692</v>
      </c>
      <c r="AN51" t="n">
        <v>0.3451588820315564</v>
      </c>
      <c r="AO51" t="n">
        <v>0.3234</v>
      </c>
      <c r="AP51" t="n">
        <v>-0.0129</v>
      </c>
      <c r="AQ51" t="n">
        <v>0.0169</v>
      </c>
      <c r="AR51" t="n">
        <v>4.429225093921458</v>
      </c>
      <c r="AS51" t="n">
        <v>4.4281</v>
      </c>
      <c r="AT51" t="n">
        <v>-0.0052</v>
      </c>
      <c r="AU51" t="n">
        <v>0.0052</v>
      </c>
      <c r="AV51" t="n">
        <v>0.604752305666701</v>
      </c>
      <c r="AW51" t="n">
        <v>0.5646</v>
      </c>
      <c r="AX51" t="n">
        <v>-0.1099</v>
      </c>
      <c r="AY51" t="n">
        <v>0.0422</v>
      </c>
      <c r="AZ51" t="n">
        <v>0.01979300300938514</v>
      </c>
      <c r="BA51" t="n">
        <v>-0.07340000000000001</v>
      </c>
      <c r="BB51" t="n">
        <v>-0.266</v>
      </c>
      <c r="BC51" t="n">
        <v>0.2784</v>
      </c>
      <c r="BD51" t="n">
        <v>3.454683147610885</v>
      </c>
      <c r="BE51" t="n">
        <v>2.5135</v>
      </c>
      <c r="BF51" t="n">
        <v>-1.0546</v>
      </c>
      <c r="BG51" t="n">
        <v>0.9547</v>
      </c>
    </row>
    <row r="52" ht="27" customHeight="1" s="9">
      <c r="A52" s="3" t="n">
        <v>50</v>
      </c>
      <c r="B52" s="10">
        <f>IFERROR(AVERAGE(F52,L52,I52),"")</f>
        <v/>
      </c>
      <c r="C52" s="11" t="n">
        <v>3</v>
      </c>
      <c r="D52" s="11" t="inlineStr">
        <is>
          <t>A</t>
        </is>
      </c>
      <c r="E52" s="5" t="inlineStr">
        <is>
          <t>B (sky)</t>
        </is>
      </c>
      <c r="F52" s="3" t="n">
        <v>0.845</v>
      </c>
      <c r="G52" s="4" t="inlineStr">
        <is>
          <t>Hb</t>
        </is>
      </c>
      <c r="H52" s="5" t="inlineStr">
        <is>
          <t>A</t>
        </is>
      </c>
      <c r="I52" s="3" t="n">
        <v>0.845</v>
      </c>
      <c r="J52" s="4" t="inlineStr">
        <is>
          <t>O2,Hb</t>
        </is>
      </c>
      <c r="K52" s="5" t="inlineStr">
        <is>
          <t>A</t>
        </is>
      </c>
      <c r="L52" s="3" t="n">
        <v>0.845</v>
      </c>
      <c r="M52" s="4" t="inlineStr">
        <is>
          <t>O2,Hb</t>
        </is>
      </c>
      <c r="N52" s="6" t="n"/>
      <c r="P52" t="n">
        <v>42.16486</v>
      </c>
      <c r="Q52" t="n">
        <v>-3.5812126</v>
      </c>
      <c r="R52" t="n">
        <v>10.304</v>
      </c>
      <c r="S52" t="n">
        <v>0.062</v>
      </c>
      <c r="T52" t="n">
        <v>0.07161668498570264</v>
      </c>
      <c r="U52" t="n">
        <v>0.08840000000000001</v>
      </c>
      <c r="V52" t="n">
        <v>-0.038</v>
      </c>
      <c r="W52" t="n">
        <v>0.0381</v>
      </c>
      <c r="X52" t="n">
        <v>0.005334554211456094</v>
      </c>
      <c r="Y52" t="n">
        <v>-0.013</v>
      </c>
      <c r="Z52" t="n">
        <v>-0.0203</v>
      </c>
      <c r="AA52" t="n">
        <v>0.019</v>
      </c>
      <c r="AB52" t="n">
        <v>1.356869437542279</v>
      </c>
      <c r="AC52" t="n">
        <v>1.3686</v>
      </c>
      <c r="AD52" t="n">
        <v>-0.0377</v>
      </c>
      <c r="AE52" t="n">
        <v>0.0381</v>
      </c>
      <c r="AF52" t="n">
        <v>202.7696804599276</v>
      </c>
      <c r="AG52" t="n">
        <v>178.3682</v>
      </c>
      <c r="AH52" t="n">
        <v>-20.1608</v>
      </c>
      <c r="AI52" t="n">
        <v>21.6487</v>
      </c>
      <c r="AJ52" t="n">
        <v>0.7995084257251979</v>
      </c>
      <c r="AK52" t="n">
        <v>0.7667</v>
      </c>
      <c r="AL52" t="n">
        <v>-0.0617</v>
      </c>
      <c r="AM52" t="n">
        <v>0.064</v>
      </c>
      <c r="AN52" t="n">
        <v>0.8058306048112736</v>
      </c>
      <c r="AO52" t="n">
        <v>0.8192</v>
      </c>
      <c r="AP52" t="n">
        <v>-0.0327</v>
      </c>
      <c r="AQ52" t="n">
        <v>0.0346</v>
      </c>
      <c r="AR52" t="n">
        <v>4.89569448477415</v>
      </c>
      <c r="AS52" t="n">
        <v>4.8985</v>
      </c>
      <c r="AT52" t="n">
        <v>-0.007</v>
      </c>
      <c r="AU52" t="n">
        <v>0.0071</v>
      </c>
      <c r="AV52" t="n">
        <v>0.3165120868924767</v>
      </c>
      <c r="AW52" t="n">
        <v>0.315</v>
      </c>
      <c r="AX52" t="n">
        <v>-0.0131</v>
      </c>
      <c r="AY52" t="n">
        <v>0.0132</v>
      </c>
      <c r="AZ52" t="n">
        <v>-0.009794966727446175</v>
      </c>
      <c r="BA52" t="n">
        <v>-0.0109</v>
      </c>
      <c r="BB52" t="n">
        <v>-0.0139</v>
      </c>
      <c r="BC52" t="n">
        <v>0.0139</v>
      </c>
      <c r="BD52" t="n">
        <v>1.282158220488683</v>
      </c>
      <c r="BE52" t="n">
        <v>1.1875</v>
      </c>
      <c r="BF52" t="n">
        <v>-0.3148</v>
      </c>
      <c r="BG52" t="n">
        <v>0.3499</v>
      </c>
    </row>
    <row r="53" ht="27" customHeight="1" s="9">
      <c r="A53" s="3" t="n">
        <v>51</v>
      </c>
      <c r="B53" s="10">
        <f>IFERROR(AVERAGE(F53,L53,I53),"")</f>
        <v/>
      </c>
      <c r="C53" s="11" t="n"/>
      <c r="D53" s="11" t="inlineStr">
        <is>
          <t>D</t>
        </is>
      </c>
      <c r="E53" s="5" t="inlineStr">
        <is>
          <t>D (gc)</t>
        </is>
      </c>
      <c r="H53" s="5" t="inlineStr">
        <is>
          <t>D (gc)</t>
        </is>
      </c>
      <c r="I53" s="3" t="n"/>
      <c r="K53" s="5" t="inlineStr">
        <is>
          <t>D (gc)</t>
        </is>
      </c>
      <c r="N53" s="6" t="n"/>
      <c r="P53" t="n">
        <v>42.125544</v>
      </c>
      <c r="Q53" t="n">
        <v>-3.5677933</v>
      </c>
    </row>
    <row r="54" ht="27" customHeight="1" s="9">
      <c r="A54" s="3" t="n">
        <v>52</v>
      </c>
      <c r="B54" s="10">
        <f>IFERROR(AVERAGE(F54,L54,I54),"")</f>
        <v/>
      </c>
      <c r="C54" s="11" t="n">
        <v>3</v>
      </c>
      <c r="D54" s="11" t="inlineStr">
        <is>
          <t>A</t>
        </is>
      </c>
      <c r="E54" s="5" t="inlineStr">
        <is>
          <t>F (ns)</t>
        </is>
      </c>
      <c r="H54" s="5" t="inlineStr">
        <is>
          <t>A</t>
        </is>
      </c>
      <c r="I54" s="3" t="n">
        <v>0.618</v>
      </c>
      <c r="J54" s="4" t="inlineStr">
        <is>
          <t>Hb,O3b</t>
        </is>
      </c>
      <c r="K54" s="5" t="inlineStr">
        <is>
          <t>A</t>
        </is>
      </c>
      <c r="L54" s="3" t="n">
        <v>0.618</v>
      </c>
      <c r="M54" s="4" t="inlineStr">
        <is>
          <t>Hb,O3b</t>
        </is>
      </c>
      <c r="N54" s="6" t="n"/>
      <c r="P54" t="n">
        <v>42.12093</v>
      </c>
      <c r="Q54" t="n">
        <v>-3.5685508</v>
      </c>
      <c r="R54" t="n">
        <v>9.439</v>
      </c>
      <c r="S54" t="n">
        <v>0.061</v>
      </c>
      <c r="T54" t="n">
        <v>-0.1490735097009649</v>
      </c>
      <c r="U54" t="n">
        <v>-0.1473</v>
      </c>
      <c r="V54" t="n">
        <v>0.002</v>
      </c>
      <c r="W54" t="n">
        <v>-0.0039</v>
      </c>
      <c r="X54" t="n">
        <v>-0.1498091009259893</v>
      </c>
      <c r="Y54" t="n">
        <v>-0.1437</v>
      </c>
      <c r="Z54" t="n">
        <v>0.0047</v>
      </c>
      <c r="AA54" t="n">
        <v>-0.0095</v>
      </c>
      <c r="AB54" t="n">
        <v>2.577612667964512</v>
      </c>
      <c r="AC54" t="n">
        <v>2.6026</v>
      </c>
      <c r="AD54" t="n">
        <v>-0.0251</v>
      </c>
      <c r="AE54" t="n">
        <v>0.0245</v>
      </c>
      <c r="AF54" t="n">
        <v>210.8239691860173</v>
      </c>
      <c r="AG54" t="n">
        <v>162.7364</v>
      </c>
      <c r="AH54" t="n">
        <v>-11.1037</v>
      </c>
      <c r="AI54" t="n">
        <v>10.8094</v>
      </c>
      <c r="AJ54" t="n">
        <v>0.5917101934008157</v>
      </c>
      <c r="AK54" t="n">
        <v>0.5747</v>
      </c>
      <c r="AL54" t="n">
        <v>-0.0245</v>
      </c>
      <c r="AM54" t="n">
        <v>0.0235</v>
      </c>
      <c r="AN54" t="n">
        <v>0.3719343274818075</v>
      </c>
      <c r="AO54" t="n">
        <v>0.3795</v>
      </c>
      <c r="AP54" t="n">
        <v>-0.0078</v>
      </c>
      <c r="AQ54" t="n">
        <v>0.008</v>
      </c>
      <c r="AR54" t="n">
        <v>4.445663710945647</v>
      </c>
      <c r="AS54" t="n">
        <v>4.4501</v>
      </c>
      <c r="AT54" t="n">
        <v>-0.0049</v>
      </c>
      <c r="AU54" t="n">
        <v>0.0051</v>
      </c>
      <c r="AV54" t="n">
        <v>0.3598363200116075</v>
      </c>
      <c r="AW54" t="n">
        <v>0.347</v>
      </c>
      <c r="AX54" t="n">
        <v>-0.0175</v>
      </c>
      <c r="AY54" t="n">
        <v>0.0167</v>
      </c>
      <c r="AZ54" t="n">
        <v>0.3359608955309277</v>
      </c>
      <c r="BA54" t="n">
        <v>0.3432</v>
      </c>
      <c r="BB54" t="n">
        <v>-0.0154</v>
      </c>
      <c r="BC54" t="n">
        <v>0.0158</v>
      </c>
      <c r="BD54" t="n">
        <v>0.9607433755089285</v>
      </c>
      <c r="BE54" t="n">
        <v>0.7534</v>
      </c>
      <c r="BF54" t="n">
        <v>-0.1079</v>
      </c>
      <c r="BG54" t="n">
        <v>0.1062</v>
      </c>
    </row>
    <row r="55" ht="27" customHeight="1" s="9">
      <c r="A55" s="3" t="n">
        <v>53</v>
      </c>
      <c r="B55" s="10">
        <f>IFERROR(AVERAGE(F55,L55,I55),"")</f>
        <v/>
      </c>
      <c r="C55" s="11" t="n"/>
      <c r="D55" s="11" t="inlineStr">
        <is>
          <t>C</t>
        </is>
      </c>
      <c r="E55" s="5" t="inlineStr">
        <is>
          <t>C (cs)</t>
        </is>
      </c>
      <c r="H55" s="5" t="inlineStr">
        <is>
          <t>C (cs)</t>
        </is>
      </c>
      <c r="I55" s="3" t="n"/>
      <c r="K55" s="5" t="inlineStr">
        <is>
          <t>C (cs)</t>
        </is>
      </c>
      <c r="N55" s="6" t="n"/>
      <c r="P55" t="n">
        <v>42.089489</v>
      </c>
      <c r="Q55" t="n">
        <v>-3.5571025</v>
      </c>
    </row>
    <row r="56" ht="27" customHeight="1" s="9">
      <c r="A56" s="3" t="n">
        <v>54</v>
      </c>
      <c r="B56" s="10">
        <f>IFERROR(AVERAGE(F56,L56,I56),"")</f>
        <v/>
      </c>
      <c r="C56" s="11" t="n">
        <v>3</v>
      </c>
      <c r="D56" s="11" t="inlineStr">
        <is>
          <t>A</t>
        </is>
      </c>
      <c r="E56" s="5" t="inlineStr">
        <is>
          <t>E (fc)</t>
        </is>
      </c>
      <c r="H56" s="5" t="inlineStr">
        <is>
          <t>A</t>
        </is>
      </c>
      <c r="I56" s="3" t="n">
        <v>0.514</v>
      </c>
      <c r="J56" s="4" t="inlineStr">
        <is>
          <t>Hb,O3b</t>
        </is>
      </c>
      <c r="K56" s="5" t="inlineStr">
        <is>
          <t>A</t>
        </is>
      </c>
      <c r="L56" s="3" t="n">
        <v>0.5145</v>
      </c>
      <c r="M56" s="4" t="inlineStr">
        <is>
          <t>Hb,O3a,O3b</t>
        </is>
      </c>
      <c r="N56" s="6" t="inlineStr">
        <is>
          <t>Two suspecious emission dots 320 Angstrom redwards of [O III]</t>
        </is>
      </c>
      <c r="P56" t="n">
        <v>42.133048</v>
      </c>
      <c r="Q56" t="n">
        <v>-3.5802354</v>
      </c>
      <c r="R56" t="n">
        <v>9.315</v>
      </c>
      <c r="S56" t="n">
        <v>0.08500000000000001</v>
      </c>
      <c r="T56" t="n">
        <v>0.08114052608960085</v>
      </c>
      <c r="U56" t="n">
        <v>0.0636</v>
      </c>
      <c r="V56" t="n">
        <v>-0.0267</v>
      </c>
      <c r="W56" t="n">
        <v>0.0186</v>
      </c>
      <c r="X56" t="n">
        <v>-0.1353279050290448</v>
      </c>
      <c r="Y56" t="n">
        <v>-0.1161</v>
      </c>
      <c r="Z56" t="n">
        <v>0.0221</v>
      </c>
      <c r="AA56" t="n">
        <v>-0.0373</v>
      </c>
      <c r="AB56" t="n">
        <v>-0.5125143035122557</v>
      </c>
      <c r="AC56" t="n">
        <v>-0.4962</v>
      </c>
      <c r="AD56" t="n">
        <v>-0.0517</v>
      </c>
      <c r="AE56" t="n">
        <v>0.0509</v>
      </c>
      <c r="AF56" t="n">
        <v>97.24319574159395</v>
      </c>
      <c r="AG56" t="n">
        <v>87.5093</v>
      </c>
      <c r="AH56" t="n">
        <v>-10.1157</v>
      </c>
      <c r="AI56" t="n">
        <v>11.6928</v>
      </c>
      <c r="AJ56" t="n">
        <v>0.8681181125355478</v>
      </c>
      <c r="AK56" t="n">
        <v>0.8366</v>
      </c>
      <c r="AL56" t="n">
        <v>-0.0741</v>
      </c>
      <c r="AM56" t="n">
        <v>0.0463</v>
      </c>
      <c r="AN56" t="n">
        <v>0.4536544410261695</v>
      </c>
      <c r="AO56" t="n">
        <v>0.4662</v>
      </c>
      <c r="AP56" t="n">
        <v>-0.0133</v>
      </c>
      <c r="AQ56" t="n">
        <v>0.022</v>
      </c>
      <c r="AR56" t="n">
        <v>4.675645695218931</v>
      </c>
      <c r="AS56" t="n">
        <v>4.6758</v>
      </c>
      <c r="AT56" t="n">
        <v>-0.0044</v>
      </c>
      <c r="AU56" t="n">
        <v>0.0044</v>
      </c>
      <c r="AV56" t="n">
        <v>-0.1453366578735755</v>
      </c>
      <c r="AW56" t="n">
        <v>-0.1381</v>
      </c>
      <c r="AX56" t="n">
        <v>-0.0113</v>
      </c>
      <c r="AY56" t="n">
        <v>0.0111</v>
      </c>
      <c r="AZ56" t="n">
        <v>-0.116296776686549</v>
      </c>
      <c r="BA56" t="n">
        <v>-0.1143</v>
      </c>
      <c r="BB56" t="n">
        <v>-0.0135</v>
      </c>
      <c r="BC56" t="n">
        <v>0.014</v>
      </c>
      <c r="BD56" t="n">
        <v>0.1939801322420405</v>
      </c>
      <c r="BE56" t="n">
        <v>0.1738</v>
      </c>
      <c r="BF56" t="n">
        <v>-0.1088</v>
      </c>
      <c r="BG56" t="n">
        <v>0.1663</v>
      </c>
    </row>
    <row r="57" ht="27" customHeight="1" s="9">
      <c r="A57" s="3" t="n">
        <v>55</v>
      </c>
      <c r="B57" s="10">
        <f>IFERROR(AVERAGE(F57,L57,I57),"")</f>
        <v/>
      </c>
      <c r="C57" s="11" t="n">
        <v>3</v>
      </c>
      <c r="D57" s="11" t="inlineStr">
        <is>
          <t>AS</t>
        </is>
      </c>
      <c r="E57" s="5" t="inlineStr">
        <is>
          <t>E (fc)</t>
        </is>
      </c>
      <c r="H57" s="5" t="inlineStr">
        <is>
          <t>D (gc)</t>
        </is>
      </c>
      <c r="I57" s="3" t="n"/>
      <c r="K57" s="5" t="inlineStr">
        <is>
          <t>A</t>
        </is>
      </c>
      <c r="L57" s="3" t="n">
        <v>0.514</v>
      </c>
      <c r="M57" s="4" t="inlineStr">
        <is>
          <t>Hb,O3b</t>
        </is>
      </c>
      <c r="N57" s="6" t="inlineStr">
        <is>
          <t>More than one target in this slit, other z=0.2545 (N II, H alpha, S II; 3)</t>
        </is>
      </c>
      <c r="P57" t="n">
        <v>42.163426</v>
      </c>
      <c r="Q57" t="n">
        <v>-3.5991566</v>
      </c>
      <c r="R57" t="n">
        <v>9.494999999999999</v>
      </c>
      <c r="S57" t="n">
        <v>0.08799999999999999</v>
      </c>
      <c r="T57" t="n">
        <v>-0.1361296299337609</v>
      </c>
      <c r="U57" t="n">
        <v>-0.1376</v>
      </c>
      <c r="V57" t="n">
        <v>0.0089</v>
      </c>
      <c r="W57" t="n">
        <v>-0.0141</v>
      </c>
      <c r="X57" t="n">
        <v>0.05824325798471172</v>
      </c>
      <c r="Y57" t="n">
        <v>-0.0177</v>
      </c>
      <c r="Z57" t="n">
        <v>-0.0576</v>
      </c>
      <c r="AA57" t="n">
        <v>0.0531</v>
      </c>
      <c r="AB57" t="n">
        <v>-2.441783840089991</v>
      </c>
      <c r="AC57" t="n">
        <v>-2.4227</v>
      </c>
      <c r="AD57" t="n">
        <v>-0.0256</v>
      </c>
      <c r="AE57" t="n">
        <v>0.0272</v>
      </c>
      <c r="AF57" t="n">
        <v>216.2280294060721</v>
      </c>
      <c r="AG57" t="n">
        <v>183.1364</v>
      </c>
      <c r="AH57" t="n">
        <v>-11.8155</v>
      </c>
      <c r="AI57" t="n">
        <v>10.6807</v>
      </c>
      <c r="AJ57" t="n">
        <v>0.6157616197719393</v>
      </c>
      <c r="AK57" t="n">
        <v>0.5212</v>
      </c>
      <c r="AL57" t="n">
        <v>-0.06270000000000001</v>
      </c>
      <c r="AM57" t="n">
        <v>0.0611</v>
      </c>
      <c r="AN57" t="n">
        <v>0.8223548491321271</v>
      </c>
      <c r="AO57" t="n">
        <v>0.8747</v>
      </c>
      <c r="AP57" t="n">
        <v>-0.0446</v>
      </c>
      <c r="AQ57" t="n">
        <v>0.0522</v>
      </c>
      <c r="AR57" t="n">
        <v>4.784868679640796</v>
      </c>
      <c r="AS57" t="n">
        <v>4.7821</v>
      </c>
      <c r="AT57" t="n">
        <v>-0.0076</v>
      </c>
      <c r="AU57" t="n">
        <v>0.0073</v>
      </c>
      <c r="AV57" t="n">
        <v>-0.09916492342311489</v>
      </c>
      <c r="AW57" t="n">
        <v>-0.108</v>
      </c>
      <c r="AX57" t="n">
        <v>-0.0134</v>
      </c>
      <c r="AY57" t="n">
        <v>0.0133</v>
      </c>
      <c r="AZ57" t="n">
        <v>0.1660319774280994</v>
      </c>
      <c r="BA57" t="n">
        <v>0.1382</v>
      </c>
      <c r="BB57" t="n">
        <v>-0.0169</v>
      </c>
      <c r="BC57" t="n">
        <v>0.0181</v>
      </c>
      <c r="BD57" t="n">
        <v>0.7989528018226756</v>
      </c>
      <c r="BE57" t="n">
        <v>0.717</v>
      </c>
      <c r="BF57" t="n">
        <v>-0.1227</v>
      </c>
      <c r="BG57" t="n">
        <v>0.1306</v>
      </c>
    </row>
    <row r="58" ht="27" customHeight="1" s="9">
      <c r="A58" s="3" t="n">
        <v>56</v>
      </c>
      <c r="B58" s="10">
        <f>IFERROR(AVERAGE(F58,L58,I58),"")</f>
        <v/>
      </c>
      <c r="C58" s="11" t="n">
        <v>3</v>
      </c>
      <c r="D58" s="11" t="inlineStr">
        <is>
          <t>B</t>
        </is>
      </c>
      <c r="E58" s="5" t="inlineStr">
        <is>
          <t>F (ns)</t>
        </is>
      </c>
      <c r="H58" s="5" t="inlineStr">
        <is>
          <t>B (sky)</t>
        </is>
      </c>
      <c r="I58" s="3" t="n">
        <v>0.803</v>
      </c>
      <c r="J58" s="4" t="inlineStr">
        <is>
          <t>Hb,O3b</t>
        </is>
      </c>
      <c r="K58" s="5" t="inlineStr">
        <is>
          <t>B (sky)</t>
        </is>
      </c>
      <c r="L58" s="3" t="n">
        <v>0.8025</v>
      </c>
      <c r="M58" s="4" t="inlineStr">
        <is>
          <t>Hb,O3b</t>
        </is>
      </c>
      <c r="N58" s="6" t="n"/>
      <c r="O58" s="4" t="inlineStr">
        <is>
          <t>Hb</t>
        </is>
      </c>
      <c r="P58" t="n">
        <v>42.115665</v>
      </c>
      <c r="Q58" t="n">
        <v>-3.5808494</v>
      </c>
      <c r="R58" t="n">
        <v>10.13</v>
      </c>
      <c r="S58" t="n">
        <v>0.057</v>
      </c>
      <c r="T58" t="n">
        <v>-0.03732735058759469</v>
      </c>
      <c r="U58" t="n">
        <v>-0.0222</v>
      </c>
      <c r="V58" t="n">
        <v>-0.0866</v>
      </c>
      <c r="W58" t="n">
        <v>0.0837</v>
      </c>
      <c r="X58" t="n">
        <v>0.02731538515876744</v>
      </c>
      <c r="Y58" t="n">
        <v>-0.0232</v>
      </c>
      <c r="Z58" t="n">
        <v>0.082</v>
      </c>
      <c r="AA58" t="n">
        <v>-0.0963</v>
      </c>
      <c r="AB58" t="n">
        <v>-0.4778274215452618</v>
      </c>
      <c r="AC58" t="n">
        <v>-0.4588</v>
      </c>
      <c r="AD58" t="n">
        <v>-0.0843</v>
      </c>
      <c r="AE58" t="n">
        <v>0.08409999999999999</v>
      </c>
      <c r="AF58" t="n">
        <v>115.4692485048283</v>
      </c>
      <c r="AG58" t="n">
        <v>145.3489</v>
      </c>
      <c r="AH58" t="n">
        <v>-17.3476</v>
      </c>
      <c r="AI58" t="n">
        <v>19.8079</v>
      </c>
      <c r="AJ58" t="n">
        <v>0.5340759844138991</v>
      </c>
      <c r="AK58" t="n">
        <v>0.5777</v>
      </c>
      <c r="AL58" t="n">
        <v>-0.1237</v>
      </c>
      <c r="AM58" t="n">
        <v>0.1721</v>
      </c>
      <c r="AN58" t="n">
        <v>0.8005870863164279</v>
      </c>
      <c r="AO58" t="n">
        <v>0.7726</v>
      </c>
      <c r="AP58" t="n">
        <v>-0.089</v>
      </c>
      <c r="AQ58" t="n">
        <v>0.09089999999999999</v>
      </c>
      <c r="AR58" t="n">
        <v>4.829137936157084</v>
      </c>
      <c r="AS58" t="n">
        <v>4.8301</v>
      </c>
      <c r="AT58" t="n">
        <v>-0.0045</v>
      </c>
      <c r="AU58" t="n">
        <v>0.0048</v>
      </c>
      <c r="AV58" t="n">
        <v>-0.05515383937235541</v>
      </c>
      <c r="AW58" t="n">
        <v>-0.0515</v>
      </c>
      <c r="AX58" t="n">
        <v>-0.0213</v>
      </c>
      <c r="AY58" t="n">
        <v>0.0218</v>
      </c>
      <c r="AZ58" t="n">
        <v>-0.1495280754463912</v>
      </c>
      <c r="BA58" t="n">
        <v>-0.1592</v>
      </c>
      <c r="BB58" t="n">
        <v>-0.042</v>
      </c>
      <c r="BC58" t="n">
        <v>0.0321</v>
      </c>
      <c r="BD58" t="n">
        <v>0.5884296756714266</v>
      </c>
      <c r="BE58" t="n">
        <v>0.7556</v>
      </c>
      <c r="BF58" t="n">
        <v>-0.3219</v>
      </c>
      <c r="BG58" t="n">
        <v>0.3392</v>
      </c>
    </row>
    <row r="59" ht="27" customHeight="1" s="9">
      <c r="A59" s="3" t="n">
        <v>57</v>
      </c>
      <c r="B59" s="10">
        <f>IFERROR(AVERAGE(F59,L59,I59),"")</f>
        <v/>
      </c>
      <c r="C59" s="11" t="n">
        <v>3</v>
      </c>
      <c r="D59" s="11" t="inlineStr">
        <is>
          <t>B</t>
        </is>
      </c>
      <c r="E59" s="5" t="inlineStr">
        <is>
          <t>F (ns)</t>
        </is>
      </c>
      <c r="H59" s="5" t="inlineStr">
        <is>
          <t>B (sky)</t>
        </is>
      </c>
      <c r="I59" s="3" t="n">
        <v>0.781</v>
      </c>
      <c r="J59" s="4" t="inlineStr">
        <is>
          <t>Hb,O3b</t>
        </is>
      </c>
      <c r="K59" s="5" t="inlineStr">
        <is>
          <t>B (sky)</t>
        </is>
      </c>
      <c r="L59" s="3" t="n">
        <v>0.781</v>
      </c>
      <c r="M59" s="4" t="inlineStr">
        <is>
          <t>Hb,O3b</t>
        </is>
      </c>
      <c r="N59" s="6" t="n"/>
      <c r="O59" s="4" t="inlineStr">
        <is>
          <t>Hb</t>
        </is>
      </c>
      <c r="P59" t="n">
        <v>42.076121</v>
      </c>
      <c r="Q59" t="n">
        <v>-3.5661768</v>
      </c>
      <c r="R59" t="n">
        <v>9.981</v>
      </c>
      <c r="S59" t="n">
        <v>0.06900000000000001</v>
      </c>
      <c r="T59" t="n">
        <v>0.02194617531321386</v>
      </c>
      <c r="U59" t="n">
        <v>-0.012</v>
      </c>
      <c r="V59" t="n">
        <v>-0.0305</v>
      </c>
      <c r="W59" t="n">
        <v>0.0261</v>
      </c>
      <c r="X59" t="n">
        <v>-0.132263390543324</v>
      </c>
      <c r="Y59" t="n">
        <v>-0.0535</v>
      </c>
      <c r="Z59" t="n">
        <v>-0.0475</v>
      </c>
      <c r="AA59" t="n">
        <v>0.0568</v>
      </c>
      <c r="AB59" t="n">
        <v>-0.5813234807428516</v>
      </c>
      <c r="AC59" t="n">
        <v>-0.5904</v>
      </c>
      <c r="AD59" t="n">
        <v>-0.0483</v>
      </c>
      <c r="AE59" t="n">
        <v>0.0466</v>
      </c>
      <c r="AF59" t="n">
        <v>182.7275131360717</v>
      </c>
      <c r="AG59" t="n">
        <v>153.8289</v>
      </c>
      <c r="AH59" t="n">
        <v>-13.3776</v>
      </c>
      <c r="AI59" t="n">
        <v>15.5451</v>
      </c>
      <c r="AJ59" t="n">
        <v>0.7898938801802111</v>
      </c>
      <c r="AK59" t="n">
        <v>0.6566</v>
      </c>
      <c r="AL59" t="n">
        <v>-0.0801</v>
      </c>
      <c r="AM59" t="n">
        <v>0.07439999999999999</v>
      </c>
      <c r="AN59" t="n">
        <v>0.4647594376368685</v>
      </c>
      <c r="AO59" t="n">
        <v>0.5071</v>
      </c>
      <c r="AP59" t="n">
        <v>-0.0259</v>
      </c>
      <c r="AQ59" t="n">
        <v>0.0324</v>
      </c>
      <c r="AR59" t="n">
        <v>4.822157158154557</v>
      </c>
      <c r="AS59" t="n">
        <v>4.8221</v>
      </c>
      <c r="AT59" t="n">
        <v>-0.0035</v>
      </c>
      <c r="AU59" t="n">
        <v>0.0035</v>
      </c>
      <c r="AV59" t="n">
        <v>-0.3605719481965184</v>
      </c>
      <c r="AW59" t="n">
        <v>-0.3709</v>
      </c>
      <c r="AX59" t="n">
        <v>-0.0138</v>
      </c>
      <c r="AY59" t="n">
        <v>0.0142</v>
      </c>
      <c r="AZ59" t="n">
        <v>-0.2102413678440094</v>
      </c>
      <c r="BA59" t="n">
        <v>-0.1701</v>
      </c>
      <c r="BB59" t="n">
        <v>-0.0242</v>
      </c>
      <c r="BC59" t="n">
        <v>0.0214</v>
      </c>
      <c r="BD59" t="n">
        <v>0.02674098708533212</v>
      </c>
      <c r="BE59" t="n">
        <v>0.0617</v>
      </c>
      <c r="BF59" t="n">
        <v>-0.0368</v>
      </c>
      <c r="BG59" t="n">
        <v>0.0584</v>
      </c>
    </row>
    <row r="60" ht="27" customHeight="1" s="9">
      <c r="A60" s="3" t="n">
        <v>58</v>
      </c>
      <c r="B60" s="10">
        <f>IFERROR(AVERAGE(F60,L60,I60),"")</f>
        <v/>
      </c>
      <c r="C60" s="11" t="n">
        <v>3</v>
      </c>
      <c r="D60" s="11" t="inlineStr">
        <is>
          <t>BS</t>
        </is>
      </c>
      <c r="E60" s="5" t="inlineStr">
        <is>
          <t>F (ns)</t>
        </is>
      </c>
      <c r="H60" s="5" t="inlineStr">
        <is>
          <t>F (ns)</t>
        </is>
      </c>
      <c r="I60" s="3" t="n"/>
      <c r="K60" s="5" t="inlineStr">
        <is>
          <t>B (sky)</t>
        </is>
      </c>
      <c r="L60" s="3" t="n">
        <v>0.659</v>
      </c>
      <c r="M60" s="4" t="inlineStr">
        <is>
          <t>Hb,O3b</t>
        </is>
      </c>
      <c r="N60" s="6" t="n"/>
      <c r="O60" s="4" t="inlineStr">
        <is>
          <t>Hb</t>
        </is>
      </c>
      <c r="P60" t="n">
        <v>42.112405</v>
      </c>
      <c r="Q60" t="n">
        <v>-3.5890243</v>
      </c>
      <c r="R60" t="n">
        <v>9.445</v>
      </c>
      <c r="S60" t="n">
        <v>0.031</v>
      </c>
      <c r="T60" t="n">
        <v>0.1123369497638111</v>
      </c>
      <c r="U60" t="n">
        <v>0.0265</v>
      </c>
      <c r="V60" t="n">
        <v>-0.0441</v>
      </c>
      <c r="W60" t="n">
        <v>0.075</v>
      </c>
      <c r="X60" t="n">
        <v>-0.1478689672797136</v>
      </c>
      <c r="Y60" t="n">
        <v>-0.0728</v>
      </c>
      <c r="Z60" t="n">
        <v>-0.0434</v>
      </c>
      <c r="AA60" t="n">
        <v>0.0473</v>
      </c>
      <c r="AB60" t="n">
        <v>1.187530312365817</v>
      </c>
      <c r="AC60" t="n">
        <v>1.3317</v>
      </c>
      <c r="AD60" t="n">
        <v>-0.7911</v>
      </c>
      <c r="AE60" t="n">
        <v>0.5583</v>
      </c>
      <c r="AF60" t="n">
        <v>143.2790631796616</v>
      </c>
      <c r="AG60" t="n">
        <v>100.375</v>
      </c>
      <c r="AH60" t="n">
        <v>-12.9111</v>
      </c>
      <c r="AI60" t="n">
        <v>15.2446</v>
      </c>
      <c r="AJ60" t="n">
        <v>0.7520332140678914</v>
      </c>
      <c r="AK60" t="n">
        <v>0.8874</v>
      </c>
      <c r="AL60" t="n">
        <v>-0.1123</v>
      </c>
      <c r="AM60" t="n">
        <v>0.0829</v>
      </c>
      <c r="AN60" t="n">
        <v>0.529147623052502</v>
      </c>
      <c r="AO60" t="n">
        <v>0.4882</v>
      </c>
      <c r="AP60" t="n">
        <v>-0.0228</v>
      </c>
      <c r="AQ60" t="n">
        <v>0.0328</v>
      </c>
      <c r="AR60" t="n">
        <v>4.356640949783499</v>
      </c>
      <c r="AS60" t="n">
        <v>4.3587</v>
      </c>
      <c r="AT60" t="n">
        <v>-0.0077</v>
      </c>
      <c r="AU60" t="n">
        <v>0.007900000000000001</v>
      </c>
      <c r="AV60" t="n">
        <v>0.7000318710881577</v>
      </c>
      <c r="AW60" t="n">
        <v>0.676</v>
      </c>
      <c r="AX60" t="n">
        <v>-0.3141</v>
      </c>
      <c r="AY60" t="n">
        <v>0.0638</v>
      </c>
      <c r="AZ60" t="n">
        <v>-0.2345263901812613</v>
      </c>
      <c r="BA60" t="n">
        <v>-0.1572</v>
      </c>
      <c r="BB60" t="n">
        <v>-0.4204</v>
      </c>
      <c r="BC60" t="n">
        <v>0.3483</v>
      </c>
      <c r="BD60" t="n">
        <v>1.346616971719418</v>
      </c>
      <c r="BE60" t="n">
        <v>2.2555</v>
      </c>
      <c r="BF60" t="n">
        <v>-1.1166</v>
      </c>
      <c r="BG60" t="n">
        <v>1.19</v>
      </c>
    </row>
    <row r="61" ht="27" customHeight="1" s="9">
      <c r="A61" s="3" t="n">
        <v>59</v>
      </c>
      <c r="B61" s="10">
        <f>IFERROR(AVERAGE(F61,L61,I61),"")</f>
        <v/>
      </c>
      <c r="C61" s="11" t="n">
        <v>3</v>
      </c>
      <c r="D61" s="11" t="inlineStr">
        <is>
          <t>A</t>
        </is>
      </c>
      <c r="E61" s="5" t="inlineStr">
        <is>
          <t>F (ns)</t>
        </is>
      </c>
      <c r="H61" s="5" t="inlineStr">
        <is>
          <t>A</t>
        </is>
      </c>
      <c r="I61" s="3" t="n">
        <v>0.82</v>
      </c>
      <c r="J61" s="4" t="inlineStr">
        <is>
          <t>Hg,Hb,O3a,O3b</t>
        </is>
      </c>
      <c r="K61" s="5" t="inlineStr">
        <is>
          <t>A</t>
        </is>
      </c>
      <c r="L61" s="3" t="n">
        <v>0.821</v>
      </c>
      <c r="M61" s="4" t="inlineStr">
        <is>
          <t>Hg,Hb,O3a,O3b</t>
        </is>
      </c>
      <c r="N61" s="6" t="n"/>
      <c r="P61" t="n">
        <v>42.119855</v>
      </c>
      <c r="Q61" t="n">
        <v>-3.5956342</v>
      </c>
      <c r="R61" t="n">
        <v>9.492000000000001</v>
      </c>
      <c r="S61" t="n">
        <v>0.026</v>
      </c>
      <c r="T61" t="n">
        <v>-0.1498224277934897</v>
      </c>
      <c r="U61" t="n">
        <v>-0.1471</v>
      </c>
      <c r="V61" t="n">
        <v>0.0022</v>
      </c>
      <c r="W61" t="n">
        <v>-0.0051</v>
      </c>
      <c r="X61" t="n">
        <v>-0.06511639293201515</v>
      </c>
      <c r="Y61" t="n">
        <v>-0.0634</v>
      </c>
      <c r="Z61" t="n">
        <v>-0.012</v>
      </c>
      <c r="AA61" t="n">
        <v>0.012</v>
      </c>
      <c r="AB61" t="n">
        <v>3.092746857566363</v>
      </c>
      <c r="AC61" t="n">
        <v>3.1063</v>
      </c>
      <c r="AD61" t="n">
        <v>-0.0407</v>
      </c>
      <c r="AE61" t="n">
        <v>0.0249</v>
      </c>
      <c r="AF61" t="n">
        <v>201.8705988363774</v>
      </c>
      <c r="AG61" t="n">
        <v>161.1275</v>
      </c>
      <c r="AH61" t="n">
        <v>-12.7733</v>
      </c>
      <c r="AI61" t="n">
        <v>11.6948</v>
      </c>
      <c r="AJ61" t="n">
        <v>0.8867070633260958</v>
      </c>
      <c r="AK61" t="n">
        <v>0.8858</v>
      </c>
      <c r="AL61" t="n">
        <v>-0.0167</v>
      </c>
      <c r="AM61" t="n">
        <v>0.0161</v>
      </c>
      <c r="AN61" t="n">
        <v>0.2539291708302921</v>
      </c>
      <c r="AO61" t="n">
        <v>0.2552</v>
      </c>
      <c r="AP61" t="n">
        <v>-0.0045</v>
      </c>
      <c r="AQ61" t="n">
        <v>0.0047</v>
      </c>
      <c r="AR61" t="n">
        <v>4.727622642900517</v>
      </c>
      <c r="AS61" t="n">
        <v>4.7318</v>
      </c>
      <c r="AT61" t="n">
        <v>-0.0031</v>
      </c>
      <c r="AU61" t="n">
        <v>0.003</v>
      </c>
      <c r="AV61" t="n">
        <v>0.8074088621435387</v>
      </c>
      <c r="AW61" t="n">
        <v>0.7992</v>
      </c>
      <c r="AX61" t="n">
        <v>-0.0198</v>
      </c>
      <c r="AY61" t="n">
        <v>0.0201</v>
      </c>
      <c r="AZ61" t="n">
        <v>0.2568968890026722</v>
      </c>
      <c r="BA61" t="n">
        <v>0.2654</v>
      </c>
      <c r="BB61" t="n">
        <v>-0.0316</v>
      </c>
      <c r="BC61" t="n">
        <v>0.0222</v>
      </c>
      <c r="BD61" t="n">
        <v>1.248064627156054</v>
      </c>
      <c r="BE61" t="n">
        <v>0.9236</v>
      </c>
      <c r="BF61" t="n">
        <v>-0.1381</v>
      </c>
      <c r="BG61" t="n">
        <v>0.1391</v>
      </c>
    </row>
    <row r="62" ht="27" customHeight="1" s="9">
      <c r="A62" s="3" t="n">
        <v>60</v>
      </c>
      <c r="B62" s="10">
        <f>IFERROR(AVERAGE(F62,L62,I62),"")</f>
        <v/>
      </c>
      <c r="C62" s="11" t="n">
        <v>3</v>
      </c>
      <c r="D62" s="11" t="inlineStr">
        <is>
          <t>A</t>
        </is>
      </c>
      <c r="E62" s="5" t="inlineStr">
        <is>
          <t>A</t>
        </is>
      </c>
      <c r="F62" s="3" t="n">
        <v>0.661</v>
      </c>
      <c r="G62" s="4" t="inlineStr">
        <is>
          <t>O3a</t>
        </is>
      </c>
      <c r="H62" s="5" t="inlineStr">
        <is>
          <t>A</t>
        </is>
      </c>
      <c r="I62" s="3" t="n">
        <v>0.66</v>
      </c>
      <c r="J62" s="4" t="inlineStr">
        <is>
          <t>Hb,O3a,O3b</t>
        </is>
      </c>
      <c r="K62" s="5" t="inlineStr">
        <is>
          <t>A</t>
        </is>
      </c>
      <c r="L62" s="3" t="n">
        <v>0.66</v>
      </c>
      <c r="M62" s="4" t="inlineStr">
        <is>
          <t>Hb,O3a,O3b</t>
        </is>
      </c>
      <c r="N62" s="6" t="n"/>
      <c r="P62" t="n">
        <v>42.110742</v>
      </c>
      <c r="Q62" t="n">
        <v>-3.59539</v>
      </c>
      <c r="R62" t="n">
        <v>9.625999999999999</v>
      </c>
      <c r="S62" t="n">
        <v>0.06</v>
      </c>
      <c r="T62" t="n">
        <v>0.1166233800862551</v>
      </c>
      <c r="U62" t="n">
        <v>0.09909999999999999</v>
      </c>
      <c r="V62" t="n">
        <v>-0.0238</v>
      </c>
      <c r="W62" t="n">
        <v>0.0252</v>
      </c>
      <c r="X62" t="n">
        <v>0.1479327551031474</v>
      </c>
      <c r="Y62" t="n">
        <v>0.1257</v>
      </c>
      <c r="Z62" t="n">
        <v>0.0274</v>
      </c>
      <c r="AA62" t="n">
        <v>-0.0173</v>
      </c>
      <c r="AB62" t="n">
        <v>2.108441006075012</v>
      </c>
      <c r="AC62" t="n">
        <v>2.1056</v>
      </c>
      <c r="AD62" t="n">
        <v>-0.0518</v>
      </c>
      <c r="AE62" t="n">
        <v>0.0529</v>
      </c>
      <c r="AF62" t="n">
        <v>169.1476065662087</v>
      </c>
      <c r="AG62" t="n">
        <v>147.9794</v>
      </c>
      <c r="AH62" t="n">
        <v>-15.4865</v>
      </c>
      <c r="AI62" t="n">
        <v>14.3566</v>
      </c>
      <c r="AJ62" t="n">
        <v>0.6621809293541135</v>
      </c>
      <c r="AK62" t="n">
        <v>0.6933</v>
      </c>
      <c r="AL62" t="n">
        <v>-0.0341</v>
      </c>
      <c r="AM62" t="n">
        <v>0.0482</v>
      </c>
      <c r="AN62" t="n">
        <v>0.5579823001829394</v>
      </c>
      <c r="AO62" t="n">
        <v>0.5436</v>
      </c>
      <c r="AP62" t="n">
        <v>-0.0181</v>
      </c>
      <c r="AQ62" t="n">
        <v>0.0158</v>
      </c>
      <c r="AR62" t="n">
        <v>4.627057733050221</v>
      </c>
      <c r="AS62" t="n">
        <v>4.6253</v>
      </c>
      <c r="AT62" t="n">
        <v>-0.0051</v>
      </c>
      <c r="AU62" t="n">
        <v>0.005</v>
      </c>
      <c r="AV62" t="n">
        <v>0.3544950738206525</v>
      </c>
      <c r="AW62" t="n">
        <v>0.3506</v>
      </c>
      <c r="AX62" t="n">
        <v>-0.0115</v>
      </c>
      <c r="AY62" t="n">
        <v>0.0121</v>
      </c>
      <c r="AZ62" t="n">
        <v>-0.0288479324580182</v>
      </c>
      <c r="BA62" t="n">
        <v>-0.0341</v>
      </c>
      <c r="BB62" t="n">
        <v>-0.0154</v>
      </c>
      <c r="BC62" t="n">
        <v>0.0155</v>
      </c>
      <c r="BD62" t="n">
        <v>3.157500744820398</v>
      </c>
      <c r="BE62" t="n">
        <v>2.5388</v>
      </c>
      <c r="BF62" t="n">
        <v>-0.3474</v>
      </c>
      <c r="BG62" t="n">
        <v>0.3415</v>
      </c>
    </row>
    <row r="63" ht="27" customHeight="1" s="9">
      <c r="A63" s="3" t="n">
        <v>61</v>
      </c>
      <c r="B63" s="10">
        <f>IFERROR(AVERAGE(F63,L63,I63),"")</f>
        <v/>
      </c>
      <c r="C63" s="11" t="n">
        <v>3</v>
      </c>
      <c r="D63" s="11" t="inlineStr">
        <is>
          <t>BS</t>
        </is>
      </c>
      <c r="E63" s="5" t="inlineStr">
        <is>
          <t>E (fc)</t>
        </is>
      </c>
      <c r="H63" s="5" t="inlineStr">
        <is>
          <t>E (fc)</t>
        </is>
      </c>
      <c r="I63" s="3" t="n"/>
      <c r="K63" s="5" t="inlineStr">
        <is>
          <t>B (sky)</t>
        </is>
      </c>
      <c r="L63" s="3" t="n">
        <v>0.5145</v>
      </c>
      <c r="M63" s="4" t="inlineStr">
        <is>
          <t>Hb,O3b</t>
        </is>
      </c>
      <c r="N63" s="6" t="n"/>
      <c r="O63" s="4" t="inlineStr">
        <is>
          <t>Hb</t>
        </is>
      </c>
      <c r="P63" t="n">
        <v>42.108371</v>
      </c>
      <c r="Q63" t="n">
        <v>-3.5979536</v>
      </c>
      <c r="R63" t="n">
        <v>8.970000000000001</v>
      </c>
      <c r="S63" t="n">
        <v>0.109</v>
      </c>
      <c r="T63" t="n">
        <v>0.09473751838159478</v>
      </c>
      <c r="U63" t="n">
        <v>0.0307</v>
      </c>
      <c r="V63" t="n">
        <v>0.1006</v>
      </c>
      <c r="W63" t="n">
        <v>-0.0784</v>
      </c>
      <c r="X63" t="n">
        <v>-0.1268499220891939</v>
      </c>
      <c r="Y63" t="n">
        <v>-0.06809999999999999</v>
      </c>
      <c r="Z63" t="n">
        <v>-0.0574</v>
      </c>
      <c r="AA63" t="n">
        <v>0.0955</v>
      </c>
      <c r="AB63" t="n">
        <v>-0.4506362691655106</v>
      </c>
      <c r="AC63" t="n">
        <v>-0.4409</v>
      </c>
      <c r="AD63" t="n">
        <v>-0.08699999999999999</v>
      </c>
      <c r="AE63" t="n">
        <v>0.0934</v>
      </c>
      <c r="AF63" t="n">
        <v>113.0065692348792</v>
      </c>
      <c r="AG63" t="n">
        <v>89.48220000000001</v>
      </c>
      <c r="AH63" t="n">
        <v>-9.3576</v>
      </c>
      <c r="AI63" t="n">
        <v>10.8036</v>
      </c>
      <c r="AJ63" t="n">
        <v>0.3283866319473748</v>
      </c>
      <c r="AK63" t="n">
        <v>0.2705</v>
      </c>
      <c r="AL63" t="n">
        <v>-0.057</v>
      </c>
      <c r="AM63" t="n">
        <v>0.0609</v>
      </c>
      <c r="AN63" t="n">
        <v>0.6369418558847453</v>
      </c>
      <c r="AO63" t="n">
        <v>0.6849</v>
      </c>
      <c r="AP63" t="n">
        <v>-0.0546</v>
      </c>
      <c r="AQ63" t="n">
        <v>0.067</v>
      </c>
      <c r="AR63" t="n">
        <v>4.297099862403664</v>
      </c>
      <c r="AS63" t="n">
        <v>4.2941</v>
      </c>
      <c r="AT63" t="n">
        <v>-0.008</v>
      </c>
      <c r="AU63" t="n">
        <v>0.0083</v>
      </c>
      <c r="AV63" t="n">
        <v>-0.1491359066404538</v>
      </c>
      <c r="AW63" t="n">
        <v>-0.1447</v>
      </c>
      <c r="AX63" t="n">
        <v>-0.0387</v>
      </c>
      <c r="AY63" t="n">
        <v>0.0399</v>
      </c>
      <c r="AZ63" t="n">
        <v>-0.2727921776153464</v>
      </c>
      <c r="BA63" t="n">
        <v>-0.2295</v>
      </c>
      <c r="BB63" t="n">
        <v>-0.0422</v>
      </c>
      <c r="BC63" t="n">
        <v>0.0391</v>
      </c>
      <c r="BD63" t="n">
        <v>0.3149133744209066</v>
      </c>
      <c r="BE63" t="n">
        <v>0.1819</v>
      </c>
      <c r="BF63" t="n">
        <v>-0.1186</v>
      </c>
      <c r="BG63" t="n">
        <v>0.1935</v>
      </c>
    </row>
    <row r="64" ht="27" customHeight="1" s="9">
      <c r="A64" s="3" t="n">
        <v>62</v>
      </c>
      <c r="B64" s="10">
        <f>IFERROR(AVERAGE(F64,L64,I64),"")</f>
        <v/>
      </c>
      <c r="C64" s="11" t="n"/>
      <c r="D64" s="11" t="inlineStr">
        <is>
          <t>E</t>
        </is>
      </c>
      <c r="E64" s="5" t="inlineStr">
        <is>
          <t>E (fc)</t>
        </is>
      </c>
      <c r="H64" s="5" t="inlineStr">
        <is>
          <t>E (fc)</t>
        </is>
      </c>
      <c r="I64" s="3" t="n"/>
      <c r="K64" s="5" t="inlineStr">
        <is>
          <t>E (fc)</t>
        </is>
      </c>
      <c r="N64" s="6" t="n"/>
      <c r="P64" t="n">
        <v>42.112883</v>
      </c>
      <c r="Q64" t="n">
        <v>-3.6044437</v>
      </c>
    </row>
    <row r="65" ht="27" customHeight="1" s="9">
      <c r="A65" s="3" t="n">
        <v>63</v>
      </c>
      <c r="B65" s="10">
        <f>IFERROR(AVERAGE(F65,L65,I65),"")</f>
        <v/>
      </c>
      <c r="C65" s="11" t="n">
        <v>3</v>
      </c>
      <c r="D65" s="11" t="inlineStr">
        <is>
          <t>A</t>
        </is>
      </c>
      <c r="E65" s="5" t="inlineStr">
        <is>
          <t>F (ns)</t>
        </is>
      </c>
      <c r="H65" s="5" t="inlineStr">
        <is>
          <t>A</t>
        </is>
      </c>
      <c r="I65" s="3" t="n">
        <v>0.514</v>
      </c>
      <c r="J65" s="4" t="inlineStr">
        <is>
          <t>Hb,O3a</t>
        </is>
      </c>
      <c r="K65" s="5" t="inlineStr">
        <is>
          <t>A</t>
        </is>
      </c>
      <c r="L65" s="3" t="n">
        <v>0.514</v>
      </c>
      <c r="M65" s="4" t="inlineStr">
        <is>
          <t>Hb,O3a</t>
        </is>
      </c>
      <c r="N65" s="6" t="n"/>
      <c r="P65" t="n">
        <v>42.096227</v>
      </c>
      <c r="Q65" t="n">
        <v>-3.5994258</v>
      </c>
      <c r="R65" t="n">
        <v>9.186999999999999</v>
      </c>
      <c r="S65" t="n">
        <v>0.076</v>
      </c>
    </row>
    <row r="66" ht="27" customHeight="1" s="9">
      <c r="A66" s="3" t="n">
        <v>64</v>
      </c>
      <c r="B66" s="10">
        <f>IFERROR(AVERAGE(F66,L66,I66),"")</f>
        <v/>
      </c>
      <c r="C66" s="11" t="n">
        <v>3</v>
      </c>
      <c r="D66" s="11" t="inlineStr">
        <is>
          <t>B</t>
        </is>
      </c>
      <c r="E66" s="5" t="inlineStr">
        <is>
          <t>F (ns)</t>
        </is>
      </c>
      <c r="H66" s="5" t="inlineStr">
        <is>
          <t>B (sky)</t>
        </is>
      </c>
      <c r="I66" s="3" t="n">
        <v>0.804</v>
      </c>
      <c r="J66" s="4" t="inlineStr">
        <is>
          <t>O3a,O3b</t>
        </is>
      </c>
      <c r="K66" s="5" t="inlineStr">
        <is>
          <t>B (sky)</t>
        </is>
      </c>
      <c r="L66" s="3" t="n">
        <v>0.802</v>
      </c>
      <c r="M66" s="4" t="inlineStr">
        <is>
          <t>O3a,O3b</t>
        </is>
      </c>
      <c r="N66" s="6" t="n"/>
      <c r="P66" t="n">
        <v>42.099111</v>
      </c>
      <c r="Q66" t="n">
        <v>-3.6056084</v>
      </c>
      <c r="R66" t="n">
        <v>8.916</v>
      </c>
      <c r="S66" t="n">
        <v>0.129</v>
      </c>
      <c r="T66" t="n">
        <v>0.1413385566939776</v>
      </c>
      <c r="U66" t="n">
        <v>0.1188</v>
      </c>
      <c r="V66" t="n">
        <v>0.0329</v>
      </c>
      <c r="W66" t="n">
        <v>-0.022</v>
      </c>
      <c r="X66" t="n">
        <v>-0.007811906514970879</v>
      </c>
      <c r="Y66" t="n">
        <v>-0.0863</v>
      </c>
      <c r="Z66" t="n">
        <v>0.0449</v>
      </c>
      <c r="AA66" t="n">
        <v>-0.0822</v>
      </c>
      <c r="AB66" t="n">
        <v>-1.062175614889829</v>
      </c>
      <c r="AC66" t="n">
        <v>-1.1032</v>
      </c>
      <c r="AD66" t="n">
        <v>-0.1128</v>
      </c>
      <c r="AE66" t="n">
        <v>0.1046</v>
      </c>
      <c r="AF66" t="n">
        <v>95.83627862327378</v>
      </c>
      <c r="AG66" t="n">
        <v>78.5741</v>
      </c>
      <c r="AH66" t="n">
        <v>-10.9369</v>
      </c>
      <c r="AI66" t="n">
        <v>11.8362</v>
      </c>
      <c r="AJ66" t="n">
        <v>0.6027666761818373</v>
      </c>
      <c r="AK66" t="n">
        <v>0.6901</v>
      </c>
      <c r="AL66" t="n">
        <v>-0.1</v>
      </c>
      <c r="AM66" t="n">
        <v>0.076</v>
      </c>
      <c r="AN66" t="n">
        <v>0.5497077401015725</v>
      </c>
      <c r="AO66" t="n">
        <v>0.5085</v>
      </c>
      <c r="AP66" t="n">
        <v>-0.0285</v>
      </c>
      <c r="AQ66" t="n">
        <v>0.0412</v>
      </c>
      <c r="AR66" t="n">
        <v>4.134734289416527</v>
      </c>
      <c r="AS66" t="n">
        <v>4.1261</v>
      </c>
      <c r="AT66" t="n">
        <v>-0.01</v>
      </c>
      <c r="AU66" t="n">
        <v>0.0103</v>
      </c>
      <c r="AV66" t="n">
        <v>-0.4474456933600075</v>
      </c>
      <c r="AW66" t="n">
        <v>-0.4595</v>
      </c>
      <c r="AX66" t="n">
        <v>-0.0352</v>
      </c>
      <c r="AY66" t="n">
        <v>0.034</v>
      </c>
      <c r="AZ66" t="n">
        <v>-0.1394639107343421</v>
      </c>
      <c r="BA66" t="n">
        <v>-0.1527</v>
      </c>
      <c r="BB66" t="n">
        <v>-0.0387</v>
      </c>
      <c r="BC66" t="n">
        <v>0.0389</v>
      </c>
      <c r="BD66" t="n">
        <v>2.287998225294139</v>
      </c>
      <c r="BE66" t="n">
        <v>1.7788</v>
      </c>
      <c r="BF66" t="n">
        <v>-0.4676</v>
      </c>
      <c r="BG66" t="n">
        <v>0.589</v>
      </c>
    </row>
    <row r="67" ht="27" customHeight="1" s="9">
      <c r="A67" s="3" t="n">
        <v>65</v>
      </c>
      <c r="B67" s="10">
        <f>IFERROR(AVERAGE(F67,L67,I67),"")</f>
        <v/>
      </c>
      <c r="C67" s="11" t="n">
        <v>3</v>
      </c>
      <c r="D67" s="11" t="inlineStr">
        <is>
          <t>A</t>
        </is>
      </c>
      <c r="E67" s="5" t="inlineStr">
        <is>
          <t>F (ns)</t>
        </is>
      </c>
      <c r="H67" s="5" t="inlineStr">
        <is>
          <t>A</t>
        </is>
      </c>
      <c r="I67" s="3" t="n">
        <v>0.84</v>
      </c>
      <c r="J67" s="4" t="inlineStr">
        <is>
          <t>O2,Hb</t>
        </is>
      </c>
      <c r="K67" s="5" t="inlineStr">
        <is>
          <t>A</t>
        </is>
      </c>
      <c r="L67" s="3" t="n">
        <v>0.841</v>
      </c>
      <c r="M67" s="4" t="inlineStr">
        <is>
          <t>O2,Hb</t>
        </is>
      </c>
      <c r="N67" s="6" t="n"/>
      <c r="P67" t="n">
        <v>42.153058</v>
      </c>
      <c r="Q67" t="n">
        <v>-3.6332448</v>
      </c>
      <c r="R67" t="n">
        <v>9.568</v>
      </c>
      <c r="S67" t="n">
        <v>0.131</v>
      </c>
      <c r="T67" t="n">
        <v>0.1463358141606106</v>
      </c>
      <c r="U67" t="n">
        <v>0.1308</v>
      </c>
      <c r="V67" t="n">
        <v>0.0221</v>
      </c>
      <c r="W67" t="n">
        <v>-0.0136</v>
      </c>
      <c r="X67" t="n">
        <v>-0.1462065833259833</v>
      </c>
      <c r="Y67" t="n">
        <v>-0.1258</v>
      </c>
      <c r="Z67" t="n">
        <v>0.017</v>
      </c>
      <c r="AA67" t="n">
        <v>-0.0252</v>
      </c>
      <c r="AB67" t="n">
        <v>1.157585197732191</v>
      </c>
      <c r="AC67" t="n">
        <v>1.1685</v>
      </c>
      <c r="AD67" t="n">
        <v>-0.05</v>
      </c>
      <c r="AE67" t="n">
        <v>0.0515</v>
      </c>
      <c r="AF67" t="n">
        <v>217.6396752728925</v>
      </c>
      <c r="AG67" t="n">
        <v>168.5837</v>
      </c>
      <c r="AH67" t="n">
        <v>-13.7781</v>
      </c>
      <c r="AI67" t="n">
        <v>14.6707</v>
      </c>
      <c r="AJ67" t="n">
        <v>0.6658429983012502</v>
      </c>
      <c r="AK67" t="n">
        <v>0.6843</v>
      </c>
      <c r="AL67" t="n">
        <v>-0.0288</v>
      </c>
      <c r="AM67" t="n">
        <v>0.0358</v>
      </c>
      <c r="AN67" t="n">
        <v>0.5506865273865988</v>
      </c>
      <c r="AO67" t="n">
        <v>0.5405</v>
      </c>
      <c r="AP67" t="n">
        <v>-0.0153</v>
      </c>
      <c r="AQ67" t="n">
        <v>0.0146</v>
      </c>
      <c r="AR67" t="n">
        <v>4.546318059158622</v>
      </c>
      <c r="AS67" t="n">
        <v>4.5457</v>
      </c>
      <c r="AT67" t="n">
        <v>-0.0053</v>
      </c>
      <c r="AU67" t="n">
        <v>0.0055</v>
      </c>
      <c r="AV67" t="n">
        <v>0.1273769940788867</v>
      </c>
      <c r="AW67" t="n">
        <v>0.1343</v>
      </c>
      <c r="AX67" t="n">
        <v>-0.026</v>
      </c>
      <c r="AY67" t="n">
        <v>0.0281</v>
      </c>
      <c r="AZ67" t="n">
        <v>-0.3423901996062857</v>
      </c>
      <c r="BA67" t="n">
        <v>-0.3488</v>
      </c>
      <c r="BB67" t="n">
        <v>-0.0191</v>
      </c>
      <c r="BC67" t="n">
        <v>0.0166</v>
      </c>
      <c r="BD67" t="n">
        <v>1.22410542062951</v>
      </c>
      <c r="BE67" t="n">
        <v>0.735</v>
      </c>
      <c r="BF67" t="n">
        <v>-0.1482</v>
      </c>
      <c r="BG67" t="n">
        <v>0.1586</v>
      </c>
    </row>
    <row r="68" ht="27" customHeight="1" s="9">
      <c r="A68" s="3" t="n">
        <v>66</v>
      </c>
      <c r="B68" s="10">
        <f>IFERROR(AVERAGE(F68,L68,I68),"")</f>
        <v/>
      </c>
      <c r="C68" s="11" t="n"/>
      <c r="D68" s="11" t="inlineStr">
        <is>
          <t>C</t>
        </is>
      </c>
      <c r="E68" s="5" t="inlineStr">
        <is>
          <t>C (cs)</t>
        </is>
      </c>
      <c r="H68" s="5" t="inlineStr">
        <is>
          <t>C (cs)</t>
        </is>
      </c>
      <c r="I68" s="3" t="n"/>
      <c r="K68" s="5" t="inlineStr">
        <is>
          <t>C (cs)</t>
        </is>
      </c>
      <c r="N68" s="6" t="n"/>
      <c r="P68" t="n">
        <v>42.050265</v>
      </c>
      <c r="Q68" t="n">
        <v>-3.5887134</v>
      </c>
    </row>
    <row r="69" ht="27" customHeight="1" s="9">
      <c r="A69" s="3" t="n">
        <v>67</v>
      </c>
      <c r="B69" s="10">
        <f>IFERROR(AVERAGE(F69,L69,I69),"")</f>
        <v/>
      </c>
      <c r="C69" s="11" t="n">
        <v>3</v>
      </c>
      <c r="D69" s="11" t="inlineStr">
        <is>
          <t>B</t>
        </is>
      </c>
      <c r="E69" s="5" t="inlineStr">
        <is>
          <t>F (ns)</t>
        </is>
      </c>
      <c r="H69" s="5" t="inlineStr">
        <is>
          <t>B (sky)</t>
        </is>
      </c>
      <c r="I69" s="3" t="n">
        <v>0.594</v>
      </c>
      <c r="J69" s="4" t="inlineStr">
        <is>
          <t>O3a,O3b</t>
        </is>
      </c>
      <c r="K69" s="5" t="inlineStr">
        <is>
          <t>B (sky)</t>
        </is>
      </c>
      <c r="L69" s="3" t="n">
        <v>0.594</v>
      </c>
      <c r="M69" s="4" t="inlineStr">
        <is>
          <t>O3a,O3b</t>
        </is>
      </c>
      <c r="N69" s="6" t="n"/>
      <c r="P69" t="n">
        <v>42.137923</v>
      </c>
      <c r="Q69" t="n">
        <v>-3.6331218</v>
      </c>
      <c r="R69" t="n">
        <v>9.037000000000001</v>
      </c>
      <c r="S69" t="n">
        <v>0.1</v>
      </c>
      <c r="T69" t="n">
        <v>-0.1422089978603075</v>
      </c>
      <c r="U69" t="n">
        <v>-0.1159</v>
      </c>
      <c r="V69" t="n">
        <v>0.0251</v>
      </c>
      <c r="W69" t="n">
        <v>-0.0459</v>
      </c>
      <c r="X69" t="n">
        <v>-0.1114330334713479</v>
      </c>
      <c r="Y69" t="n">
        <v>-0.1136</v>
      </c>
      <c r="Z69" t="n">
        <v>0.0256</v>
      </c>
      <c r="AA69" t="n">
        <v>-0.0426</v>
      </c>
      <c r="AB69" t="n">
        <v>-2.249697847789144</v>
      </c>
      <c r="AC69" t="n">
        <v>-2.112</v>
      </c>
      <c r="AD69" t="n">
        <v>-0.1014</v>
      </c>
      <c r="AE69" t="n">
        <v>0.1116</v>
      </c>
      <c r="AF69" t="n">
        <v>109.2083192703685</v>
      </c>
      <c r="AG69" t="n">
        <v>88.7985</v>
      </c>
      <c r="AH69" t="n">
        <v>-11.5174</v>
      </c>
      <c r="AI69" t="n">
        <v>12.3322</v>
      </c>
      <c r="AJ69" t="n">
        <v>0.7093972330539366</v>
      </c>
      <c r="AK69" t="n">
        <v>0.6878</v>
      </c>
      <c r="AL69" t="n">
        <v>-0.0563</v>
      </c>
      <c r="AM69" t="n">
        <v>0.067</v>
      </c>
      <c r="AN69" t="n">
        <v>0.4098360105455243</v>
      </c>
      <c r="AO69" t="n">
        <v>0.414</v>
      </c>
      <c r="AP69" t="n">
        <v>-0.0196</v>
      </c>
      <c r="AQ69" t="n">
        <v>0.0207</v>
      </c>
      <c r="AR69" t="n">
        <v>4.245333945771128</v>
      </c>
      <c r="AS69" t="n">
        <v>4.2388</v>
      </c>
      <c r="AT69" t="n">
        <v>-0.008399999999999999</v>
      </c>
      <c r="AU69" t="n">
        <v>0.008399999999999999</v>
      </c>
      <c r="AV69" t="n">
        <v>-0.1677088310010779</v>
      </c>
      <c r="AW69" t="n">
        <v>-0.2347</v>
      </c>
      <c r="AX69" t="n">
        <v>-0.0456</v>
      </c>
      <c r="AY69" t="n">
        <v>0.0418</v>
      </c>
      <c r="AZ69" t="n">
        <v>0.3108011999347342</v>
      </c>
      <c r="BA69" t="n">
        <v>0.2861</v>
      </c>
      <c r="BB69" t="n">
        <v>-0.0356</v>
      </c>
      <c r="BC69" t="n">
        <v>0.0333</v>
      </c>
      <c r="BD69" t="n">
        <v>0.5002469317732495</v>
      </c>
      <c r="BE69" t="n">
        <v>0.4494</v>
      </c>
      <c r="BF69" t="n">
        <v>-0.2097</v>
      </c>
      <c r="BG69" t="n">
        <v>0.2563</v>
      </c>
    </row>
    <row r="70" ht="27" customHeight="1" s="9">
      <c r="A70" s="3" t="n">
        <v>68</v>
      </c>
      <c r="B70" s="10">
        <f>IFERROR(AVERAGE(F70,L70,I70),"")</f>
        <v/>
      </c>
      <c r="C70" s="11" t="n"/>
      <c r="D70" s="11" t="inlineStr">
        <is>
          <t>C</t>
        </is>
      </c>
      <c r="E70" s="5" t="inlineStr">
        <is>
          <t>C (cs)</t>
        </is>
      </c>
      <c r="H70" s="5" t="inlineStr">
        <is>
          <t>C (cs)</t>
        </is>
      </c>
      <c r="I70" s="3" t="n"/>
      <c r="K70" s="5" t="inlineStr">
        <is>
          <t>C (cs)</t>
        </is>
      </c>
      <c r="N70" s="6" t="n"/>
      <c r="P70" t="n">
        <v>42.143288</v>
      </c>
      <c r="Q70" t="n">
        <v>-3.6387784</v>
      </c>
    </row>
    <row r="71" ht="27" customHeight="1" s="9">
      <c r="A71" s="3" t="n">
        <v>69</v>
      </c>
      <c r="B71" s="10">
        <f>IFERROR(AVERAGE(F71,L71,I71),"")</f>
        <v/>
      </c>
      <c r="C71" s="11" t="n">
        <v>3</v>
      </c>
      <c r="D71" s="11" t="inlineStr">
        <is>
          <t>A</t>
        </is>
      </c>
      <c r="E71" s="5" t="inlineStr">
        <is>
          <t>B (sky)</t>
        </is>
      </c>
      <c r="F71" s="3" t="n">
        <v>0.6595</v>
      </c>
      <c r="G71" s="4" t="inlineStr">
        <is>
          <t>Hb</t>
        </is>
      </c>
      <c r="H71" s="5" t="inlineStr">
        <is>
          <t>A</t>
        </is>
      </c>
      <c r="I71" s="3" t="n">
        <v>0.659</v>
      </c>
      <c r="J71" s="4" t="inlineStr">
        <is>
          <t>Hb,O3a,O3b</t>
        </is>
      </c>
      <c r="K71" s="5" t="inlineStr">
        <is>
          <t>B (sky)</t>
        </is>
      </c>
      <c r="L71" s="3" t="n">
        <v>0.6595</v>
      </c>
      <c r="M71" s="4" t="inlineStr">
        <is>
          <t>Hb,O3b</t>
        </is>
      </c>
      <c r="N71" s="6" t="n"/>
      <c r="O71" s="4" t="inlineStr">
        <is>
          <t>O3b</t>
        </is>
      </c>
      <c r="P71" t="n">
        <v>42.145585</v>
      </c>
      <c r="Q71" t="n">
        <v>-3.6429235</v>
      </c>
      <c r="R71" t="n">
        <v>9.882999999999999</v>
      </c>
      <c r="S71" t="n">
        <v>0.082</v>
      </c>
      <c r="T71" t="n">
        <v>-0.01919738761814122</v>
      </c>
      <c r="U71" t="n">
        <v>-0.0239</v>
      </c>
      <c r="V71" t="n">
        <v>-0.0497</v>
      </c>
      <c r="W71" t="n">
        <v>0.0443</v>
      </c>
      <c r="X71" t="n">
        <v>-0.04011371130904093</v>
      </c>
      <c r="Y71" t="n">
        <v>-0.0837</v>
      </c>
      <c r="Z71" t="n">
        <v>0.0446</v>
      </c>
      <c r="AA71" t="n">
        <v>-0.0602</v>
      </c>
      <c r="AB71" t="n">
        <v>0.4651586524235456</v>
      </c>
      <c r="AC71" t="n">
        <v>0.4911</v>
      </c>
      <c r="AD71" t="n">
        <v>-0.0451</v>
      </c>
      <c r="AE71" t="n">
        <v>0.0494</v>
      </c>
      <c r="AF71" t="n">
        <v>201.6835161277881</v>
      </c>
      <c r="AG71" t="n">
        <v>171.108</v>
      </c>
      <c r="AH71" t="n">
        <v>-15.7112</v>
      </c>
      <c r="AI71" t="n">
        <v>16.2416</v>
      </c>
      <c r="AJ71" t="n">
        <v>0.5242971865390742</v>
      </c>
      <c r="AK71" t="n">
        <v>0.4886</v>
      </c>
      <c r="AL71" t="n">
        <v>-0.0558</v>
      </c>
      <c r="AM71" t="n">
        <v>0.08309999999999999</v>
      </c>
      <c r="AN71" t="n">
        <v>1.01796291580604</v>
      </c>
      <c r="AO71" t="n">
        <v>1.0569</v>
      </c>
      <c r="AP71" t="n">
        <v>-0.073</v>
      </c>
      <c r="AQ71" t="n">
        <v>0.0599</v>
      </c>
      <c r="AR71" t="n">
        <v>4.769036055708004</v>
      </c>
      <c r="AS71" t="n">
        <v>4.7725</v>
      </c>
      <c r="AT71" t="n">
        <v>-0.0077</v>
      </c>
      <c r="AU71" t="n">
        <v>0.008</v>
      </c>
      <c r="AV71" t="n">
        <v>-0.05169873735862507</v>
      </c>
      <c r="AW71" t="n">
        <v>-0.0414</v>
      </c>
      <c r="AX71" t="n">
        <v>-0.0163</v>
      </c>
      <c r="AY71" t="n">
        <v>0.0158</v>
      </c>
      <c r="AZ71" t="n">
        <v>-0.1385535202835042</v>
      </c>
      <c r="BA71" t="n">
        <v>-0.1303</v>
      </c>
      <c r="BB71" t="n">
        <v>-0.0212</v>
      </c>
      <c r="BC71" t="n">
        <v>0.0145</v>
      </c>
      <c r="BD71" t="n">
        <v>2.246206256669981</v>
      </c>
      <c r="BE71" t="n">
        <v>1.8606</v>
      </c>
      <c r="BF71" t="n">
        <v>-0.2917</v>
      </c>
      <c r="BG71" t="n">
        <v>0.2985</v>
      </c>
    </row>
    <row r="72" ht="27" customHeight="1" s="9">
      <c r="A72" s="3" t="n">
        <v>70</v>
      </c>
      <c r="B72" s="10">
        <f>IFERROR(AVERAGE(F72,L72,I72),"")</f>
        <v/>
      </c>
      <c r="C72" s="11" t="n">
        <v>3</v>
      </c>
      <c r="D72" s="11" t="inlineStr">
        <is>
          <t>A</t>
        </is>
      </c>
      <c r="E72" s="5" t="inlineStr">
        <is>
          <t>F (ns)</t>
        </is>
      </c>
      <c r="H72" s="5" t="inlineStr">
        <is>
          <t>A</t>
        </is>
      </c>
      <c r="I72" s="3" t="n">
        <v>0.671</v>
      </c>
      <c r="J72" s="4" t="inlineStr">
        <is>
          <t>Hb,O3b</t>
        </is>
      </c>
      <c r="K72" s="5" t="inlineStr">
        <is>
          <t>A</t>
        </is>
      </c>
      <c r="L72" s="3" t="n">
        <v>0.6715</v>
      </c>
      <c r="M72" s="4" t="inlineStr">
        <is>
          <t>Hb,O3b</t>
        </is>
      </c>
      <c r="N72" s="6" t="n"/>
      <c r="P72" t="n">
        <v>42.118898</v>
      </c>
      <c r="Q72" t="n">
        <v>-3.6356005</v>
      </c>
      <c r="R72" t="n">
        <v>9.769</v>
      </c>
      <c r="S72" t="n">
        <v>0.065</v>
      </c>
      <c r="T72" t="n">
        <v>0.01718315322246855</v>
      </c>
      <c r="U72" t="n">
        <v>0.0298</v>
      </c>
      <c r="V72" t="n">
        <v>-0.0309</v>
      </c>
      <c r="W72" t="n">
        <v>0.0223</v>
      </c>
      <c r="X72" t="n">
        <v>-0.09366685433750925</v>
      </c>
      <c r="Y72" t="n">
        <v>-0.052</v>
      </c>
      <c r="Z72" t="n">
        <v>-0.0548</v>
      </c>
      <c r="AA72" t="n">
        <v>0.04</v>
      </c>
      <c r="AB72" t="n">
        <v>0.6097554672434087</v>
      </c>
      <c r="AC72" t="n">
        <v>0.5799</v>
      </c>
      <c r="AD72" t="n">
        <v>-0.078</v>
      </c>
      <c r="AE72" t="n">
        <v>0.0824</v>
      </c>
      <c r="AF72" t="n">
        <v>84.24690707997746</v>
      </c>
      <c r="AG72" t="n">
        <v>120.9241</v>
      </c>
      <c r="AH72" t="n">
        <v>-14.7002</v>
      </c>
      <c r="AI72" t="n">
        <v>17.372</v>
      </c>
      <c r="AJ72" t="n">
        <v>0.7630763577084901</v>
      </c>
      <c r="AK72" t="n">
        <v>0.8207</v>
      </c>
      <c r="AL72" t="n">
        <v>-0.095</v>
      </c>
      <c r="AM72" t="n">
        <v>0.0733</v>
      </c>
      <c r="AN72" t="n">
        <v>0.372857263888753</v>
      </c>
      <c r="AO72" t="n">
        <v>0.3612</v>
      </c>
      <c r="AP72" t="n">
        <v>-0.0151</v>
      </c>
      <c r="AQ72" t="n">
        <v>0.0226</v>
      </c>
      <c r="AR72" t="n">
        <v>4.615337890910857</v>
      </c>
      <c r="AS72" t="n">
        <v>4.6163</v>
      </c>
      <c r="AT72" t="n">
        <v>-0.0041</v>
      </c>
      <c r="AU72" t="n">
        <v>0.0042</v>
      </c>
      <c r="AV72" t="n">
        <v>0.05739865241802367</v>
      </c>
      <c r="AW72" t="n">
        <v>0.0578</v>
      </c>
      <c r="AX72" t="n">
        <v>-0.0158</v>
      </c>
      <c r="AY72" t="n">
        <v>0.0155</v>
      </c>
      <c r="AZ72" t="n">
        <v>-0.1117252599760621</v>
      </c>
      <c r="BA72" t="n">
        <v>-0.1209</v>
      </c>
      <c r="BB72" t="n">
        <v>-0.0149</v>
      </c>
      <c r="BC72" t="n">
        <v>0.0156</v>
      </c>
      <c r="BD72" t="n">
        <v>0.4839922297081083</v>
      </c>
      <c r="BE72" t="n">
        <v>0.7862</v>
      </c>
      <c r="BF72" t="n">
        <v>-0.3184</v>
      </c>
      <c r="BG72" t="n">
        <v>0.4231</v>
      </c>
    </row>
    <row r="73" ht="27" customHeight="1" s="9">
      <c r="A73" s="3" t="n">
        <v>71</v>
      </c>
      <c r="B73" s="10">
        <f>IFERROR(AVERAGE(F73,L73,I73),"")</f>
        <v/>
      </c>
      <c r="C73" s="11" t="n">
        <v>3</v>
      </c>
      <c r="D73" s="11" t="inlineStr">
        <is>
          <t>A</t>
        </is>
      </c>
      <c r="E73" s="5" t="inlineStr">
        <is>
          <t>F (ns)</t>
        </is>
      </c>
      <c r="H73" s="5" t="inlineStr">
        <is>
          <t>A</t>
        </is>
      </c>
      <c r="I73" s="3" t="n">
        <v>0.681</v>
      </c>
      <c r="J73" s="4" t="inlineStr">
        <is>
          <t>Hb,O3b</t>
        </is>
      </c>
      <c r="K73" s="5" t="inlineStr">
        <is>
          <t>A</t>
        </is>
      </c>
      <c r="L73" s="3" t="n">
        <v>0.6820000000000001</v>
      </c>
      <c r="M73" s="4" t="inlineStr">
        <is>
          <t>Hb,O3b</t>
        </is>
      </c>
      <c r="N73" s="6" t="n"/>
      <c r="P73" t="n">
        <v>42.102837</v>
      </c>
      <c r="Q73" t="n">
        <v>-3.6312542</v>
      </c>
    </row>
    <row r="74" ht="27" customHeight="1" s="9">
      <c r="A74" s="3" t="n">
        <v>72</v>
      </c>
      <c r="B74" s="10">
        <f>IFERROR(AVERAGE(F74,L74,I74),"")</f>
        <v/>
      </c>
      <c r="C74" s="11" t="n">
        <v>3</v>
      </c>
      <c r="D74" s="11" t="inlineStr">
        <is>
          <t>A</t>
        </is>
      </c>
      <c r="E74" s="5" t="inlineStr">
        <is>
          <t>F (ns)</t>
        </is>
      </c>
      <c r="H74" s="5" t="inlineStr">
        <is>
          <t>A</t>
        </is>
      </c>
      <c r="I74" s="3" t="n">
        <v>0.6840000000000001</v>
      </c>
      <c r="J74" s="4" t="inlineStr">
        <is>
          <t>Hg,Hb,O3b</t>
        </is>
      </c>
      <c r="K74" s="5" t="inlineStr">
        <is>
          <t>A</t>
        </is>
      </c>
      <c r="L74" s="3" t="n">
        <v>0.6830000000000001</v>
      </c>
      <c r="M74" s="4" t="inlineStr">
        <is>
          <t>Hg,Hb,O3b</t>
        </is>
      </c>
      <c r="N74" s="6" t="n"/>
      <c r="O74" s="4" t="inlineStr">
        <is>
          <t>Hg,O3b</t>
        </is>
      </c>
      <c r="P74" t="n">
        <v>42.098326</v>
      </c>
      <c r="Q74" t="n">
        <v>-3.632645</v>
      </c>
      <c r="R74" t="n">
        <v>10.223</v>
      </c>
      <c r="S74" t="n">
        <v>0.042</v>
      </c>
      <c r="T74" t="n">
        <v>0.1484120419036609</v>
      </c>
      <c r="U74" t="n">
        <v>0.1354</v>
      </c>
      <c r="V74" t="n">
        <v>0.0191</v>
      </c>
      <c r="W74" t="n">
        <v>-0.011</v>
      </c>
      <c r="X74" t="n">
        <v>0.09028538092551577</v>
      </c>
      <c r="Y74" t="n">
        <v>0.0873</v>
      </c>
      <c r="Z74" t="n">
        <v>-0.0173</v>
      </c>
      <c r="AA74" t="n">
        <v>0.0199</v>
      </c>
      <c r="AB74" t="n">
        <v>1.683155969931796</v>
      </c>
      <c r="AC74" t="n">
        <v>1.6994</v>
      </c>
      <c r="AD74" t="n">
        <v>-0.0336</v>
      </c>
      <c r="AE74" t="n">
        <v>0.0347</v>
      </c>
      <c r="AF74" t="n">
        <v>316.3919594037537</v>
      </c>
      <c r="AG74" t="n">
        <v>251.0412</v>
      </c>
      <c r="AH74" t="n">
        <v>-15.1941</v>
      </c>
      <c r="AI74" t="n">
        <v>14.277</v>
      </c>
      <c r="AJ74" t="n">
        <v>0.5834529433017863</v>
      </c>
      <c r="AK74" t="n">
        <v>0.5981</v>
      </c>
      <c r="AL74" t="n">
        <v>-0.02</v>
      </c>
      <c r="AM74" t="n">
        <v>0.0284</v>
      </c>
      <c r="AN74" t="n">
        <v>0.818331849250703</v>
      </c>
      <c r="AO74" t="n">
        <v>0.8065</v>
      </c>
      <c r="AP74" t="n">
        <v>-0.0184</v>
      </c>
      <c r="AQ74" t="n">
        <v>0.0165</v>
      </c>
      <c r="AR74" t="n">
        <v>4.996330166767256</v>
      </c>
      <c r="AS74" t="n">
        <v>4.9929</v>
      </c>
      <c r="AT74" t="n">
        <v>-0.0051</v>
      </c>
      <c r="AU74" t="n">
        <v>0.0052</v>
      </c>
      <c r="AV74" t="n">
        <v>0.2328373489733984</v>
      </c>
      <c r="AW74" t="n">
        <v>0.2342</v>
      </c>
      <c r="AX74" t="n">
        <v>-0.0115</v>
      </c>
      <c r="AY74" t="n">
        <v>0.012</v>
      </c>
      <c r="AZ74" t="n">
        <v>-0.1254783614512824</v>
      </c>
      <c r="BA74" t="n">
        <v>-0.1308</v>
      </c>
      <c r="BB74" t="n">
        <v>-0.0098</v>
      </c>
      <c r="BC74" t="n">
        <v>0.0098</v>
      </c>
      <c r="BD74" t="n">
        <v>1.448937625827172</v>
      </c>
      <c r="BE74" t="n">
        <v>0.9575</v>
      </c>
      <c r="BF74" t="n">
        <v>-0.1075</v>
      </c>
      <c r="BG74" t="n">
        <v>0.1129</v>
      </c>
    </row>
    <row r="75" ht="27" customHeight="1" s="9">
      <c r="A75" s="3" t="n">
        <v>73</v>
      </c>
      <c r="B75" s="10">
        <f>IFERROR(AVERAGE(F75,L75,I75),"")</f>
        <v/>
      </c>
      <c r="C75" s="11" t="n"/>
      <c r="D75" s="11" t="inlineStr">
        <is>
          <t>C</t>
        </is>
      </c>
      <c r="E75" s="5" t="inlineStr">
        <is>
          <t>C (cs)</t>
        </is>
      </c>
      <c r="H75" s="5" t="inlineStr">
        <is>
          <t>C (cs)</t>
        </is>
      </c>
      <c r="I75" s="3" t="n"/>
      <c r="K75" s="5" t="inlineStr">
        <is>
          <t>C (cs)</t>
        </is>
      </c>
      <c r="N75" s="6" t="n"/>
      <c r="P75" t="n">
        <v>42.127792</v>
      </c>
      <c r="Q75" t="n">
        <v>-3.6539549</v>
      </c>
    </row>
    <row r="76" ht="27" customHeight="1" s="9">
      <c r="A76" s="3" t="n">
        <v>74</v>
      </c>
      <c r="B76" s="10">
        <f>IFERROR(AVERAGE(F76,L76,I76),"")</f>
        <v/>
      </c>
      <c r="C76" s="11" t="n"/>
      <c r="D76" s="11" t="inlineStr">
        <is>
          <t>E</t>
        </is>
      </c>
      <c r="E76" s="5" t="inlineStr">
        <is>
          <t>E (fc)</t>
        </is>
      </c>
      <c r="H76" s="5" t="inlineStr">
        <is>
          <t>E (fc)</t>
        </is>
      </c>
      <c r="I76" s="3" t="n"/>
      <c r="K76" s="5" t="inlineStr">
        <is>
          <t>E (fc)</t>
        </is>
      </c>
      <c r="N76" s="6" t="n"/>
      <c r="P76" t="n">
        <v>41.998617</v>
      </c>
      <c r="Q76" t="n">
        <v>-3.3252376</v>
      </c>
    </row>
    <row r="77" ht="27" customHeight="1" s="9">
      <c r="A77" s="3" t="n">
        <v>75</v>
      </c>
      <c r="B77" s="10">
        <f>IFERROR(AVERAGE(F77,L77,I77),"")</f>
        <v/>
      </c>
      <c r="C77" s="11" t="n">
        <v>2</v>
      </c>
      <c r="D77" s="11" t="inlineStr">
        <is>
          <t>A</t>
        </is>
      </c>
      <c r="E77" s="5" t="inlineStr">
        <is>
          <t>A</t>
        </is>
      </c>
      <c r="F77" s="3" t="n">
        <v>0.955</v>
      </c>
      <c r="G77" s="4" t="inlineStr">
        <is>
          <t>O2</t>
        </is>
      </c>
      <c r="H77" s="5" t="inlineStr">
        <is>
          <t>A</t>
        </is>
      </c>
      <c r="I77" s="3" t="n">
        <v>0.955</v>
      </c>
      <c r="J77" s="4" t="inlineStr">
        <is>
          <t>O2</t>
        </is>
      </c>
      <c r="K77" s="5" t="inlineStr">
        <is>
          <t>F (ns)</t>
        </is>
      </c>
      <c r="N77" s="6" t="n"/>
      <c r="P77" t="n">
        <v>42.040507</v>
      </c>
      <c r="Q77" t="n">
        <v>-3.3474537</v>
      </c>
      <c r="R77" t="n">
        <v>10.114</v>
      </c>
      <c r="S77" t="n">
        <v>0.074</v>
      </c>
      <c r="T77" t="n">
        <v>0.1158331420827911</v>
      </c>
      <c r="U77" t="n">
        <v>0.1047</v>
      </c>
      <c r="V77" t="n">
        <v>-0.0175</v>
      </c>
      <c r="W77" t="n">
        <v>0.0176</v>
      </c>
      <c r="X77" t="n">
        <v>-0.006168943091974077</v>
      </c>
      <c r="Y77" t="n">
        <v>-0.0159</v>
      </c>
      <c r="Z77" t="n">
        <v>-0.0182</v>
      </c>
      <c r="AA77" t="n">
        <v>0.0173</v>
      </c>
      <c r="AB77" t="n">
        <v>-2.169819202548619</v>
      </c>
      <c r="AC77" t="n">
        <v>-2.2468</v>
      </c>
      <c r="AD77" t="n">
        <v>-0.1429</v>
      </c>
      <c r="AE77" t="n">
        <v>0.1459</v>
      </c>
      <c r="AF77" t="n">
        <v>148.7503044656762</v>
      </c>
      <c r="AG77" t="n">
        <v>144.6622</v>
      </c>
      <c r="AH77" t="n">
        <v>-17.7489</v>
      </c>
      <c r="AI77" t="n">
        <v>21.5399</v>
      </c>
      <c r="AJ77" t="n">
        <v>0.9739012161699669</v>
      </c>
      <c r="AK77" t="n">
        <v>0.9641</v>
      </c>
      <c r="AL77" t="n">
        <v>-0.0185</v>
      </c>
      <c r="AM77" t="n">
        <v>0.012</v>
      </c>
      <c r="AN77" t="n">
        <v>1.127772493146538</v>
      </c>
      <c r="AO77" t="n">
        <v>1.1285</v>
      </c>
      <c r="AP77" t="n">
        <v>-0.0282</v>
      </c>
      <c r="AQ77" t="n">
        <v>0.0289</v>
      </c>
      <c r="AR77" t="n">
        <v>4.922691286324334</v>
      </c>
      <c r="AS77" t="n">
        <v>4.9203</v>
      </c>
      <c r="AT77" t="n">
        <v>-0.0119</v>
      </c>
      <c r="AU77" t="n">
        <v>0.0119</v>
      </c>
      <c r="AV77" t="n">
        <v>-0.1477325902578341</v>
      </c>
      <c r="AW77" t="n">
        <v>-0.1355</v>
      </c>
      <c r="AX77" t="n">
        <v>-0.0202</v>
      </c>
      <c r="AY77" t="n">
        <v>0.0224</v>
      </c>
      <c r="AZ77" t="n">
        <v>0.1089589420191226</v>
      </c>
      <c r="BA77" t="n">
        <v>0.1126</v>
      </c>
      <c r="BB77" t="n">
        <v>-0.0219</v>
      </c>
      <c r="BC77" t="n">
        <v>0.0212</v>
      </c>
      <c r="BD77" t="n">
        <v>0.3065202414478874</v>
      </c>
      <c r="BE77" t="n">
        <v>0.3164</v>
      </c>
      <c r="BF77" t="n">
        <v>-0.1225</v>
      </c>
      <c r="BG77" t="n">
        <v>0.1748</v>
      </c>
    </row>
    <row r="78" ht="27" customHeight="1" s="9">
      <c r="A78" s="3" t="n">
        <v>76</v>
      </c>
      <c r="B78" s="10">
        <f>IFERROR(AVERAGE(F78,L78,I78),"")</f>
        <v/>
      </c>
      <c r="C78" s="11" t="n"/>
      <c r="D78" s="11" t="inlineStr">
        <is>
          <t>E</t>
        </is>
      </c>
      <c r="E78" s="5" t="inlineStr">
        <is>
          <t>E (fc)</t>
        </is>
      </c>
      <c r="H78" s="5" t="inlineStr">
        <is>
          <t>E (fc)</t>
        </is>
      </c>
      <c r="I78" s="3" t="n"/>
      <c r="K78" s="5" t="inlineStr">
        <is>
          <t>E (fc)</t>
        </is>
      </c>
      <c r="N78" s="6" t="n"/>
      <c r="P78" t="n">
        <v>41.997574</v>
      </c>
      <c r="Q78" t="n">
        <v>-3.3318446</v>
      </c>
    </row>
    <row r="79" ht="27" customHeight="1" s="9">
      <c r="A79" s="3" t="n">
        <v>77</v>
      </c>
      <c r="B79" s="10">
        <f>IFERROR(AVERAGE(F79,L79,I79),"")</f>
        <v/>
      </c>
      <c r="C79" s="11" t="n">
        <v>3</v>
      </c>
      <c r="D79" s="11" t="inlineStr">
        <is>
          <t>BS</t>
        </is>
      </c>
      <c r="E79" s="5" t="inlineStr">
        <is>
          <t>F (ns)</t>
        </is>
      </c>
      <c r="H79" s="5" t="inlineStr">
        <is>
          <t>B (sky)</t>
        </is>
      </c>
      <c r="I79" s="3" t="n">
        <v>0.766</v>
      </c>
      <c r="J79" s="4" t="inlineStr">
        <is>
          <t>Hb,O3b</t>
        </is>
      </c>
      <c r="K79" s="5" t="inlineStr">
        <is>
          <t>F (ns)</t>
        </is>
      </c>
      <c r="N79" s="6" t="n"/>
      <c r="P79" t="n">
        <v>42.021658</v>
      </c>
      <c r="Q79" t="n">
        <v>-3.3468338</v>
      </c>
      <c r="R79" t="n">
        <v>9.596</v>
      </c>
      <c r="S79" t="n">
        <v>0.089</v>
      </c>
      <c r="T79" t="n">
        <v>0.1499250976204161</v>
      </c>
      <c r="U79" t="n">
        <v>0.1275</v>
      </c>
      <c r="V79" t="n">
        <v>0.0341</v>
      </c>
      <c r="W79" t="n">
        <v>-0.017</v>
      </c>
      <c r="X79" t="n">
        <v>-0.135558249233702</v>
      </c>
      <c r="Y79" t="n">
        <v>-0.1291</v>
      </c>
      <c r="Z79" t="n">
        <v>0.0151</v>
      </c>
      <c r="AA79" t="n">
        <v>-0.0257</v>
      </c>
      <c r="AB79" t="n">
        <v>0.4507616710987725</v>
      </c>
      <c r="AC79" t="n">
        <v>0.3855</v>
      </c>
      <c r="AD79" t="n">
        <v>-0.053</v>
      </c>
      <c r="AE79" t="n">
        <v>0.0437</v>
      </c>
      <c r="AF79" t="n">
        <v>116.6865342536891</v>
      </c>
      <c r="AG79" t="n">
        <v>114.2761</v>
      </c>
      <c r="AH79" t="n">
        <v>-13.4307</v>
      </c>
      <c r="AI79" t="n">
        <v>14.5033</v>
      </c>
      <c r="AJ79" t="n">
        <v>0.571905123016074</v>
      </c>
      <c r="AK79" t="n">
        <v>0.5601</v>
      </c>
      <c r="AL79" t="n">
        <v>-0.0344</v>
      </c>
      <c r="AM79" t="n">
        <v>0.0316</v>
      </c>
      <c r="AN79" t="n">
        <v>0.6168217945274181</v>
      </c>
      <c r="AO79" t="n">
        <v>0.615</v>
      </c>
      <c r="AP79" t="n">
        <v>-0.0178</v>
      </c>
      <c r="AQ79" t="n">
        <v>0.0194</v>
      </c>
      <c r="AR79" t="n">
        <v>4.555073559359325</v>
      </c>
      <c r="AS79" t="n">
        <v>4.5544</v>
      </c>
      <c r="AT79" t="n">
        <v>-0.0055</v>
      </c>
      <c r="AU79" t="n">
        <v>0.0051</v>
      </c>
      <c r="AV79" t="n">
        <v>0.1067570081867808</v>
      </c>
      <c r="AW79" t="n">
        <v>0.0696</v>
      </c>
      <c r="AX79" t="n">
        <v>-0.0344</v>
      </c>
      <c r="AY79" t="n">
        <v>0.0287</v>
      </c>
      <c r="AZ79" t="n">
        <v>-0.4104844054894992</v>
      </c>
      <c r="BA79" t="n">
        <v>-0.4172</v>
      </c>
      <c r="BB79" t="n">
        <v>-0.023</v>
      </c>
      <c r="BC79" t="n">
        <v>0.0222</v>
      </c>
      <c r="BD79" t="n">
        <v>0.6581191152007647</v>
      </c>
      <c r="BE79" t="n">
        <v>0.668</v>
      </c>
      <c r="BF79" t="n">
        <v>-0.2342</v>
      </c>
      <c r="BG79" t="n">
        <v>0.2805</v>
      </c>
    </row>
    <row r="80" ht="27" customHeight="1" s="9">
      <c r="A80" s="3" t="n">
        <v>78</v>
      </c>
      <c r="B80" s="10">
        <f>IFERROR(AVERAGE(F80,L80,I80),"")</f>
        <v/>
      </c>
      <c r="C80" s="11" t="n">
        <v>3</v>
      </c>
      <c r="D80" s="11" t="inlineStr">
        <is>
          <t>A</t>
        </is>
      </c>
      <c r="E80" s="5" t="inlineStr">
        <is>
          <t>A</t>
        </is>
      </c>
      <c r="F80" s="3" t="n">
        <v>0.497</v>
      </c>
      <c r="G80" s="4" t="inlineStr">
        <is>
          <t>Hb,O3a,O3b</t>
        </is>
      </c>
      <c r="H80" s="5" t="inlineStr">
        <is>
          <t>A</t>
        </is>
      </c>
      <c r="I80" s="3" t="n">
        <v>0.496</v>
      </c>
      <c r="J80" s="4" t="inlineStr">
        <is>
          <t>Hb,O3a,O3b</t>
        </is>
      </c>
      <c r="K80" s="5" t="inlineStr">
        <is>
          <t>A</t>
        </is>
      </c>
      <c r="L80" s="3" t="n">
        <v>0.497</v>
      </c>
      <c r="M80" s="4" t="inlineStr">
        <is>
          <t>Hb,O3a,O3b</t>
        </is>
      </c>
      <c r="N80" s="6" t="n"/>
      <c r="P80" t="n">
        <v>41.991587</v>
      </c>
      <c r="Q80" t="n">
        <v>-3.3362488</v>
      </c>
      <c r="R80" t="n">
        <v>9.371</v>
      </c>
      <c r="S80" t="n">
        <v>0.067</v>
      </c>
      <c r="T80" t="n">
        <v>-0.1499268212945023</v>
      </c>
      <c r="U80" t="n">
        <v>-0.1488</v>
      </c>
      <c r="V80" t="n">
        <v>0.0009</v>
      </c>
      <c r="W80" t="n">
        <v>-0.0018</v>
      </c>
      <c r="X80" t="n">
        <v>-0.1463402522217012</v>
      </c>
      <c r="Y80" t="n">
        <v>-0.1458</v>
      </c>
      <c r="Z80" t="n">
        <v>0.0031</v>
      </c>
      <c r="AA80" t="n">
        <v>-0.0068</v>
      </c>
      <c r="AB80" t="n">
        <v>-0.6088177000988093</v>
      </c>
      <c r="AC80" t="n">
        <v>-0.6021</v>
      </c>
      <c r="AD80" t="n">
        <v>-0.0194</v>
      </c>
      <c r="AE80" t="n">
        <v>0.0191</v>
      </c>
      <c r="AF80" t="n">
        <v>219.3314407450516</v>
      </c>
      <c r="AG80" t="n">
        <v>172.6343</v>
      </c>
      <c r="AH80" t="n">
        <v>-13.1967</v>
      </c>
      <c r="AI80" t="n">
        <v>13.3592</v>
      </c>
      <c r="AJ80" t="n">
        <v>0.6187644943395144</v>
      </c>
      <c r="AK80" t="n">
        <v>0.614</v>
      </c>
      <c r="AL80" t="n">
        <v>-0.0155</v>
      </c>
      <c r="AM80" t="n">
        <v>0.0149</v>
      </c>
      <c r="AN80" t="n">
        <v>0.7986714064430449</v>
      </c>
      <c r="AO80" t="n">
        <v>0.8006</v>
      </c>
      <c r="AP80" t="n">
        <v>-0.0103</v>
      </c>
      <c r="AQ80" t="n">
        <v>0.0106</v>
      </c>
      <c r="AR80" t="n">
        <v>4.786735231505083</v>
      </c>
      <c r="AS80" t="n">
        <v>4.7907</v>
      </c>
      <c r="AT80" t="n">
        <v>-0.0047</v>
      </c>
      <c r="AU80" t="n">
        <v>0.0046</v>
      </c>
      <c r="AV80" t="n">
        <v>-0.02913295852081244</v>
      </c>
      <c r="AW80" t="n">
        <v>-0.0244</v>
      </c>
      <c r="AX80" t="n">
        <v>-0.0105</v>
      </c>
      <c r="AY80" t="n">
        <v>0.0101</v>
      </c>
      <c r="AZ80" t="n">
        <v>-0.07619605335266133</v>
      </c>
      <c r="BA80" t="n">
        <v>-0.0722</v>
      </c>
      <c r="BB80" t="n">
        <v>-0.006</v>
      </c>
      <c r="BC80" t="n">
        <v>0.0066</v>
      </c>
      <c r="BD80" t="n">
        <v>2.34204352974473</v>
      </c>
      <c r="BE80" t="n">
        <v>1.8629</v>
      </c>
      <c r="BF80" t="n">
        <v>-0.1739</v>
      </c>
      <c r="BG80" t="n">
        <v>0.1752</v>
      </c>
    </row>
    <row r="81" ht="27" customHeight="1" s="9">
      <c r="A81" s="3" t="n">
        <v>79</v>
      </c>
      <c r="B81" s="10">
        <f>IFERROR(AVERAGE(F81,L81,I81),"")</f>
        <v/>
      </c>
      <c r="C81" s="11" t="n">
        <v>3</v>
      </c>
      <c r="D81" s="11" t="inlineStr">
        <is>
          <t>A</t>
        </is>
      </c>
      <c r="E81" s="5" t="inlineStr">
        <is>
          <t>B (sky)</t>
        </is>
      </c>
      <c r="F81" s="3" t="n">
        <v>0.653</v>
      </c>
      <c r="G81" s="4" t="inlineStr">
        <is>
          <t>Hb,O3a,O3b</t>
        </is>
      </c>
      <c r="H81" s="5" t="inlineStr">
        <is>
          <t>A</t>
        </is>
      </c>
      <c r="I81" s="3" t="n">
        <v>0.652</v>
      </c>
      <c r="J81" s="4" t="inlineStr">
        <is>
          <t>Hb,O3a,O3b</t>
        </is>
      </c>
      <c r="K81" s="5" t="inlineStr">
        <is>
          <t>A</t>
        </is>
      </c>
      <c r="L81" s="3" t="n">
        <v>0.652</v>
      </c>
      <c r="M81" s="4" t="inlineStr">
        <is>
          <t>Hb,O3a,O3b</t>
        </is>
      </c>
      <c r="N81" s="6" t="inlineStr">
        <is>
          <t>One suspecious emission dot 300 Angstrom bluewards of H beta. Extra gal along light of sight?</t>
        </is>
      </c>
      <c r="O81" s="4" t="inlineStr">
        <is>
          <t>O3a,Hb</t>
        </is>
      </c>
      <c r="P81" t="n">
        <v>42.005795</v>
      </c>
      <c r="Q81" t="n">
        <v>-3.3455384</v>
      </c>
      <c r="R81" t="n">
        <v>9.371</v>
      </c>
      <c r="S81" t="n">
        <v>0.023</v>
      </c>
      <c r="T81" t="n">
        <v>-0.1017305088435222</v>
      </c>
      <c r="U81" t="n">
        <v>-0.08939999999999999</v>
      </c>
      <c r="V81" t="n">
        <v>-0.0326</v>
      </c>
      <c r="W81" t="n">
        <v>0.0275</v>
      </c>
      <c r="X81" t="n">
        <v>0.04031830750585258</v>
      </c>
      <c r="Y81" t="n">
        <v>0.0081</v>
      </c>
      <c r="Z81" t="n">
        <v>-0.0534</v>
      </c>
      <c r="AA81" t="n">
        <v>0.0622</v>
      </c>
      <c r="AB81" t="n">
        <v>2.562857215971253</v>
      </c>
      <c r="AC81" t="n">
        <v>2.5673</v>
      </c>
      <c r="AD81" t="n">
        <v>-0.0663</v>
      </c>
      <c r="AE81" t="n">
        <v>0.0731</v>
      </c>
      <c r="AF81" t="n">
        <v>111.1030923877682</v>
      </c>
      <c r="AG81" t="n">
        <v>103.2865</v>
      </c>
      <c r="AH81" t="n">
        <v>-11.1813</v>
      </c>
      <c r="AI81" t="n">
        <v>12.3389</v>
      </c>
      <c r="AJ81" t="n">
        <v>0.6581160459793179</v>
      </c>
      <c r="AK81" t="n">
        <v>0.6985</v>
      </c>
      <c r="AL81" t="n">
        <v>-0.0856</v>
      </c>
      <c r="AM81" t="n">
        <v>0.08799999999999999</v>
      </c>
      <c r="AN81" t="n">
        <v>0.619627815573056</v>
      </c>
      <c r="AO81" t="n">
        <v>0.6024</v>
      </c>
      <c r="AP81" t="n">
        <v>-0.0336</v>
      </c>
      <c r="AQ81" t="n">
        <v>0.0388</v>
      </c>
      <c r="AR81" t="n">
        <v>4.978694243352904</v>
      </c>
      <c r="AS81" t="n">
        <v>4.9781</v>
      </c>
      <c r="AT81" t="n">
        <v>-0.0037</v>
      </c>
      <c r="AU81" t="n">
        <v>0.0037</v>
      </c>
      <c r="AV81" t="n">
        <v>0.2571119793241465</v>
      </c>
      <c r="AW81" t="n">
        <v>0.2558</v>
      </c>
      <c r="AX81" t="n">
        <v>-0.01</v>
      </c>
      <c r="AY81" t="n">
        <v>0.0094</v>
      </c>
      <c r="AZ81" t="n">
        <v>-0.06039607796028967</v>
      </c>
      <c r="BA81" t="n">
        <v>-0.0604</v>
      </c>
      <c r="BB81" t="n">
        <v>-0.0154</v>
      </c>
      <c r="BC81" t="n">
        <v>0.0132</v>
      </c>
      <c r="BD81" t="n">
        <v>0.4986625561781989</v>
      </c>
      <c r="BE81" t="n">
        <v>0.3673</v>
      </c>
      <c r="BF81" t="n">
        <v>-0.1674</v>
      </c>
      <c r="BG81" t="n">
        <v>0.2037</v>
      </c>
    </row>
    <row r="82" ht="27" customHeight="1" s="9">
      <c r="A82" s="3" t="n">
        <v>80</v>
      </c>
      <c r="B82" s="10">
        <f>IFERROR(AVERAGE(F82,L82,I82),"")</f>
        <v/>
      </c>
      <c r="C82" s="11" t="n">
        <v>3</v>
      </c>
      <c r="D82" s="11" t="inlineStr">
        <is>
          <t>A</t>
        </is>
      </c>
      <c r="E82" s="5" t="inlineStr">
        <is>
          <t>A</t>
        </is>
      </c>
      <c r="F82" s="3" t="n">
        <v>0.5985</v>
      </c>
      <c r="G82" s="4" t="inlineStr">
        <is>
          <t>Hb,O3a,O3b</t>
        </is>
      </c>
      <c r="H82" s="5" t="inlineStr">
        <is>
          <t>A</t>
        </is>
      </c>
      <c r="I82" s="3" t="n">
        <v>0.598</v>
      </c>
      <c r="J82" s="4" t="inlineStr">
        <is>
          <t>Hb,O3a,O3b</t>
        </is>
      </c>
      <c r="K82" s="5" t="inlineStr">
        <is>
          <t>A</t>
        </is>
      </c>
      <c r="L82" s="3" t="n">
        <v>0.599</v>
      </c>
      <c r="M82" s="4" t="inlineStr">
        <is>
          <t>Hb,O3a,O3b</t>
        </is>
      </c>
      <c r="N82" s="6" t="n"/>
      <c r="P82" t="n">
        <v>41.966109</v>
      </c>
      <c r="Q82" t="n">
        <v>-3.3309641</v>
      </c>
      <c r="R82" t="n">
        <v>10.055</v>
      </c>
      <c r="S82" t="n">
        <v>0.101</v>
      </c>
      <c r="T82" t="n">
        <v>0.08604196489824045</v>
      </c>
      <c r="U82" t="n">
        <v>0.0757</v>
      </c>
      <c r="V82" t="n">
        <v>-0.0187</v>
      </c>
      <c r="W82" t="n">
        <v>0.0183</v>
      </c>
      <c r="X82" t="n">
        <v>0.1481904295390487</v>
      </c>
      <c r="Y82" t="n">
        <v>0.1479</v>
      </c>
      <c r="Z82" t="n">
        <v>0.0034</v>
      </c>
      <c r="AA82" t="n">
        <v>-0.0016</v>
      </c>
      <c r="AB82" t="n">
        <v>-0.4415761808350211</v>
      </c>
      <c r="AC82" t="n">
        <v>-0.4413</v>
      </c>
      <c r="AD82" t="n">
        <v>-0.0316</v>
      </c>
      <c r="AE82" t="n">
        <v>0.0315</v>
      </c>
      <c r="AF82" t="n">
        <v>183.053759691603</v>
      </c>
      <c r="AG82" t="n">
        <v>149.0421</v>
      </c>
      <c r="AH82" t="n">
        <v>-17.7878</v>
      </c>
      <c r="AI82" t="n">
        <v>20.2741</v>
      </c>
      <c r="AJ82" t="n">
        <v>0.9879185514899697</v>
      </c>
      <c r="AK82" t="n">
        <v>0.9822</v>
      </c>
      <c r="AL82" t="n">
        <v>-0.0055</v>
      </c>
      <c r="AM82" t="n">
        <v>0.0043</v>
      </c>
      <c r="AN82" t="n">
        <v>1.17805303958765</v>
      </c>
      <c r="AO82" t="n">
        <v>1.1756</v>
      </c>
      <c r="AP82" t="n">
        <v>-0.0281</v>
      </c>
      <c r="AQ82" t="n">
        <v>0.0283</v>
      </c>
      <c r="AR82" t="n">
        <v>5.386860846090893</v>
      </c>
      <c r="AS82" t="n">
        <v>5.3818</v>
      </c>
      <c r="AT82" t="n">
        <v>-0.012</v>
      </c>
      <c r="AU82" t="n">
        <v>0.0115</v>
      </c>
      <c r="AV82" t="n">
        <v>-0.05499806157766018</v>
      </c>
      <c r="AW82" t="n">
        <v>-0.0615</v>
      </c>
      <c r="AX82" t="n">
        <v>-0.0156</v>
      </c>
      <c r="AY82" t="n">
        <v>0.0153</v>
      </c>
      <c r="AZ82" t="n">
        <v>-0.1851943409691739</v>
      </c>
      <c r="BA82" t="n">
        <v>-0.1863</v>
      </c>
      <c r="BB82" t="n">
        <v>-0.0185</v>
      </c>
      <c r="BC82" t="n">
        <v>0.0186</v>
      </c>
      <c r="BD82" t="n">
        <v>0.1638226443953867</v>
      </c>
      <c r="BE82" t="n">
        <v>0.1562</v>
      </c>
      <c r="BF82" t="n">
        <v>-0.0514</v>
      </c>
      <c r="BG82" t="n">
        <v>0.059</v>
      </c>
    </row>
    <row r="83" ht="27" customHeight="1" s="9">
      <c r="A83" s="3" t="n">
        <v>81</v>
      </c>
      <c r="B83" s="10">
        <f>IFERROR(AVERAGE(F83,L83,I83),"")</f>
        <v/>
      </c>
      <c r="C83" s="11" t="n"/>
      <c r="D83" s="11" t="inlineStr">
        <is>
          <t>E</t>
        </is>
      </c>
      <c r="E83" s="5" t="inlineStr">
        <is>
          <t>E (fc)</t>
        </is>
      </c>
      <c r="H83" s="5" t="inlineStr">
        <is>
          <t>E (fc)</t>
        </is>
      </c>
      <c r="I83" s="3" t="n"/>
      <c r="K83" s="5" t="inlineStr">
        <is>
          <t>E (fc)</t>
        </is>
      </c>
      <c r="N83" s="6" t="n"/>
      <c r="P83" t="n">
        <v>42.012715</v>
      </c>
      <c r="Q83" t="n">
        <v>-3.3552017</v>
      </c>
    </row>
    <row r="84" ht="27" customHeight="1" s="9">
      <c r="A84" s="3" t="n">
        <v>82</v>
      </c>
      <c r="B84" s="10">
        <f>IFERROR(AVERAGE(F84,L84,I84),"")</f>
        <v/>
      </c>
      <c r="C84" s="11" t="n">
        <v>3</v>
      </c>
      <c r="D84" s="11" t="inlineStr">
        <is>
          <t>A</t>
        </is>
      </c>
      <c r="E84" s="5" t="inlineStr">
        <is>
          <t>A</t>
        </is>
      </c>
      <c r="F84" s="3" t="n">
        <v>0.5225</v>
      </c>
      <c r="G84" s="4" t="inlineStr">
        <is>
          <t>Hb,O3a,O3b</t>
        </is>
      </c>
      <c r="H84" s="5" t="inlineStr">
        <is>
          <t>A</t>
        </is>
      </c>
      <c r="I84" s="3" t="n">
        <v>0.523</v>
      </c>
      <c r="J84" s="4" t="inlineStr">
        <is>
          <t>Hb,O3a,O3b</t>
        </is>
      </c>
      <c r="K84" s="5" t="inlineStr">
        <is>
          <t>B (sky)</t>
        </is>
      </c>
      <c r="L84" s="3" t="n">
        <v>0.523</v>
      </c>
      <c r="M84" s="4" t="inlineStr">
        <is>
          <t>Hb,O3a,O3b</t>
        </is>
      </c>
      <c r="N84" s="6" t="n"/>
      <c r="P84" t="n">
        <v>42.006723</v>
      </c>
      <c r="Q84" t="n">
        <v>-3.3560606</v>
      </c>
      <c r="R84" t="n">
        <v>9.582000000000001</v>
      </c>
      <c r="S84" t="n">
        <v>0.076</v>
      </c>
      <c r="T84" t="n">
        <v>-0.100072104923088</v>
      </c>
      <c r="U84" t="n">
        <v>-0.1255</v>
      </c>
      <c r="V84" t="n">
        <v>0.0177</v>
      </c>
      <c r="W84" t="n">
        <v>-0.0323</v>
      </c>
      <c r="X84" t="n">
        <v>-0.1199618154011043</v>
      </c>
      <c r="Y84" t="n">
        <v>-0.1312</v>
      </c>
      <c r="Z84" t="n">
        <v>0.0127</v>
      </c>
      <c r="AA84" t="n">
        <v>-0.0177</v>
      </c>
      <c r="AB84" t="n">
        <v>0.1747169126490791</v>
      </c>
      <c r="AC84" t="n">
        <v>0.1804</v>
      </c>
      <c r="AD84" t="n">
        <v>-0.0197</v>
      </c>
      <c r="AE84" t="n">
        <v>0.017</v>
      </c>
      <c r="AF84" t="n">
        <v>285.5153739965821</v>
      </c>
      <c r="AG84" t="n">
        <v>216.2871</v>
      </c>
      <c r="AH84" t="n">
        <v>-13.9708</v>
      </c>
      <c r="AI84" t="n">
        <v>13.9474</v>
      </c>
      <c r="AJ84" t="n">
        <v>0.409802458366117</v>
      </c>
      <c r="AK84" t="n">
        <v>0.3846</v>
      </c>
      <c r="AL84" t="n">
        <v>-0.0181</v>
      </c>
      <c r="AM84" t="n">
        <v>0.0302</v>
      </c>
      <c r="AN84" t="n">
        <v>0.8870319263039563</v>
      </c>
      <c r="AO84" t="n">
        <v>0.9137</v>
      </c>
      <c r="AP84" t="n">
        <v>-0.0311</v>
      </c>
      <c r="AQ84" t="n">
        <v>0.0213</v>
      </c>
      <c r="AR84" t="n">
        <v>4.798666676530306</v>
      </c>
      <c r="AS84" t="n">
        <v>4.8003</v>
      </c>
      <c r="AT84" t="n">
        <v>-0.0044</v>
      </c>
      <c r="AU84" t="n">
        <v>0.0044</v>
      </c>
      <c r="AV84" t="n">
        <v>0.07101093034783834</v>
      </c>
      <c r="AW84" t="n">
        <v>0.0718</v>
      </c>
      <c r="AX84" t="n">
        <v>-0.0114</v>
      </c>
      <c r="AY84" t="n">
        <v>0.0113</v>
      </c>
      <c r="AZ84" t="n">
        <v>-0.2364663818004982</v>
      </c>
      <c r="BA84" t="n">
        <v>-0.2231</v>
      </c>
      <c r="BB84" t="n">
        <v>-0.0154</v>
      </c>
      <c r="BC84" t="n">
        <v>0.0098</v>
      </c>
      <c r="BD84" t="n">
        <v>3.080116432333345</v>
      </c>
      <c r="BE84" t="n">
        <v>2.3364</v>
      </c>
      <c r="BF84" t="n">
        <v>-0.2189</v>
      </c>
      <c r="BG84" t="n">
        <v>0.2143</v>
      </c>
    </row>
    <row r="85" ht="27" customHeight="1" s="9">
      <c r="A85" s="3" t="n">
        <v>83</v>
      </c>
      <c r="B85" s="10">
        <f>IFERROR(AVERAGE(F85,L85,I85),"")</f>
        <v/>
      </c>
      <c r="C85" s="11" t="n"/>
      <c r="D85" s="11" t="inlineStr">
        <is>
          <t>E</t>
        </is>
      </c>
      <c r="E85" s="5" t="inlineStr">
        <is>
          <t>F (ns)</t>
        </is>
      </c>
      <c r="H85" s="5" t="inlineStr">
        <is>
          <t>E (fc)</t>
        </is>
      </c>
      <c r="I85" s="3" t="n"/>
      <c r="K85" s="5" t="inlineStr">
        <is>
          <t>F (ns)</t>
        </is>
      </c>
      <c r="N85" s="6" t="n"/>
      <c r="P85" t="n">
        <v>42.033815</v>
      </c>
      <c r="Q85" t="n">
        <v>-3.3721167</v>
      </c>
    </row>
    <row r="86" ht="27" customHeight="1" s="9">
      <c r="A86" s="3" t="n">
        <v>84</v>
      </c>
      <c r="B86" s="10">
        <f>IFERROR(AVERAGE(F86,L86,I86),"")</f>
        <v/>
      </c>
      <c r="C86" s="11" t="n">
        <v>3</v>
      </c>
      <c r="D86" s="11" t="inlineStr">
        <is>
          <t>A</t>
        </is>
      </c>
      <c r="E86" s="5" t="inlineStr">
        <is>
          <t>B (sky)</t>
        </is>
      </c>
      <c r="F86" s="3" t="n">
        <v>0.7665</v>
      </c>
      <c r="G86" s="4" t="inlineStr">
        <is>
          <t>O3b</t>
        </is>
      </c>
      <c r="H86" s="5" t="inlineStr">
        <is>
          <t>A</t>
        </is>
      </c>
      <c r="I86" s="3" t="n">
        <v>0.767</v>
      </c>
      <c r="J86" s="4" t="inlineStr">
        <is>
          <t>Hb,O3b</t>
        </is>
      </c>
      <c r="K86" s="5" t="inlineStr">
        <is>
          <t>B (sky)</t>
        </is>
      </c>
      <c r="L86" s="3" t="n">
        <v>0.767</v>
      </c>
      <c r="M86" s="4" t="inlineStr">
        <is>
          <t>Hb,O3b</t>
        </is>
      </c>
      <c r="N86" s="6" t="n"/>
      <c r="P86" t="n">
        <v>42.010092</v>
      </c>
      <c r="Q86" t="n">
        <v>-3.365015</v>
      </c>
      <c r="R86" t="n">
        <v>9.752000000000001</v>
      </c>
      <c r="S86" t="n">
        <v>0.008</v>
      </c>
      <c r="T86" t="n">
        <v>0.1354779705443888</v>
      </c>
      <c r="U86" t="n">
        <v>0.081</v>
      </c>
      <c r="V86" t="n">
        <v>-0.04</v>
      </c>
      <c r="W86" t="n">
        <v>0.0401</v>
      </c>
      <c r="X86" t="n">
        <v>-0.01520251816711546</v>
      </c>
      <c r="Y86" t="n">
        <v>0.0111</v>
      </c>
      <c r="Z86" t="n">
        <v>-0.0252</v>
      </c>
      <c r="AA86" t="n">
        <v>0.0265</v>
      </c>
      <c r="AB86" t="n">
        <v>-1.516988302845317</v>
      </c>
      <c r="AC86" t="n">
        <v>-1.398</v>
      </c>
      <c r="AD86" t="n">
        <v>-0.0704</v>
      </c>
      <c r="AE86" t="n">
        <v>0.0597</v>
      </c>
      <c r="AF86" t="n">
        <v>196.0188996197699</v>
      </c>
      <c r="AG86" t="n">
        <v>142.3021</v>
      </c>
      <c r="AH86" t="n">
        <v>-13.8816</v>
      </c>
      <c r="AI86" t="n">
        <v>14.6343</v>
      </c>
      <c r="AJ86" t="n">
        <v>0.6580483252619469</v>
      </c>
      <c r="AK86" t="n">
        <v>0.7082000000000001</v>
      </c>
      <c r="AL86" t="n">
        <v>-0.0584</v>
      </c>
      <c r="AM86" t="n">
        <v>0.0623</v>
      </c>
      <c r="AN86" t="n">
        <v>1.026979987328538</v>
      </c>
      <c r="AO86" t="n">
        <v>1.0022</v>
      </c>
      <c r="AP86" t="n">
        <v>-0.0414</v>
      </c>
      <c r="AQ86" t="n">
        <v>0.0431</v>
      </c>
      <c r="AR86" t="n">
        <v>4.774916497479812</v>
      </c>
      <c r="AS86" t="n">
        <v>4.7789</v>
      </c>
      <c r="AT86" t="n">
        <v>-0.0065</v>
      </c>
      <c r="AU86" t="n">
        <v>0.0065</v>
      </c>
      <c r="AV86" t="n">
        <v>-0.1820607820549274</v>
      </c>
      <c r="AW86" t="n">
        <v>-0.1829</v>
      </c>
      <c r="AX86" t="n">
        <v>-0.0108</v>
      </c>
      <c r="AY86" t="n">
        <v>0.0106</v>
      </c>
      <c r="AZ86" t="n">
        <v>0.0416287276087326</v>
      </c>
      <c r="BA86" t="n">
        <v>0.0199</v>
      </c>
      <c r="BB86" t="n">
        <v>-0.0113</v>
      </c>
      <c r="BC86" t="n">
        <v>0.0115</v>
      </c>
      <c r="BD86" t="n">
        <v>1.564280754570369</v>
      </c>
      <c r="BE86" t="n">
        <v>0.9496</v>
      </c>
      <c r="BF86" t="n">
        <v>-0.1787</v>
      </c>
      <c r="BG86" t="n">
        <v>0.2249</v>
      </c>
    </row>
    <row r="87" ht="27" customHeight="1" s="9">
      <c r="A87" s="3" t="n">
        <v>85</v>
      </c>
      <c r="B87" s="10">
        <f>IFERROR(AVERAGE(F87,L87,I87),"")</f>
        <v/>
      </c>
      <c r="C87" s="11" t="n"/>
      <c r="D87" s="11" t="inlineStr">
        <is>
          <t>C</t>
        </is>
      </c>
      <c r="E87" s="5" t="inlineStr">
        <is>
          <t>C (cs)</t>
        </is>
      </c>
      <c r="H87" s="5" t="inlineStr">
        <is>
          <t>C (cs)</t>
        </is>
      </c>
      <c r="I87" s="3" t="n"/>
      <c r="K87" s="5" t="inlineStr">
        <is>
          <t>C (cs)</t>
        </is>
      </c>
      <c r="N87" s="6" t="n"/>
      <c r="P87" t="n">
        <v>41.982928</v>
      </c>
      <c r="Q87" t="n">
        <v>-3.3570578</v>
      </c>
    </row>
    <row r="88" ht="27" customHeight="1" s="9">
      <c r="A88" s="3" t="n">
        <v>86</v>
      </c>
      <c r="B88" s="10">
        <f>IFERROR(AVERAGE(F88,L88,I88),"")</f>
        <v/>
      </c>
      <c r="C88" s="11" t="n"/>
      <c r="D88" s="11" t="inlineStr">
        <is>
          <t>E</t>
        </is>
      </c>
      <c r="E88" s="5" t="inlineStr">
        <is>
          <t>E (fc)</t>
        </is>
      </c>
      <c r="H88" s="5" t="inlineStr">
        <is>
          <t>E (fc)</t>
        </is>
      </c>
      <c r="I88" s="3" t="n"/>
      <c r="K88" s="5" t="inlineStr">
        <is>
          <t>E (fc)</t>
        </is>
      </c>
      <c r="N88" s="6" t="n"/>
      <c r="P88" t="n">
        <v>42.004756</v>
      </c>
      <c r="Q88" t="n">
        <v>-3.370215</v>
      </c>
    </row>
    <row r="89" ht="27" customHeight="1" s="9">
      <c r="A89" s="3" t="n">
        <v>87</v>
      </c>
      <c r="B89" s="10">
        <f>IFERROR(AVERAGE(F89,L89,I89),"")</f>
        <v/>
      </c>
      <c r="C89" s="11" t="n">
        <v>3</v>
      </c>
      <c r="D89" s="11" t="inlineStr">
        <is>
          <t>A</t>
        </is>
      </c>
      <c r="E89" s="5" t="inlineStr">
        <is>
          <t>A</t>
        </is>
      </c>
      <c r="F89" s="3" t="n">
        <v>0.7415</v>
      </c>
      <c r="G89" s="4" t="inlineStr">
        <is>
          <t>O3b</t>
        </is>
      </c>
      <c r="H89" s="5" t="inlineStr">
        <is>
          <t>A</t>
        </is>
      </c>
      <c r="I89" s="3" t="n">
        <v>0.741</v>
      </c>
      <c r="J89" s="4" t="inlineStr">
        <is>
          <t>Hg,Hb,O3a,O3b</t>
        </is>
      </c>
      <c r="K89" s="5" t="inlineStr">
        <is>
          <t>B (sky)</t>
        </is>
      </c>
      <c r="L89" s="3" t="n">
        <v>0.7415</v>
      </c>
      <c r="M89" s="4" t="inlineStr">
        <is>
          <t>O3b</t>
        </is>
      </c>
      <c r="N89" s="6" t="n"/>
      <c r="O89" s="4" t="inlineStr">
        <is>
          <t>Hb,O3a</t>
        </is>
      </c>
      <c r="P89" t="n">
        <v>42.013011</v>
      </c>
      <c r="Q89" t="n">
        <v>-3.3793457</v>
      </c>
      <c r="R89" t="n">
        <v>9.238</v>
      </c>
      <c r="S89" t="n">
        <v>0.028</v>
      </c>
      <c r="T89" t="n">
        <v>-0.05083037919634928</v>
      </c>
      <c r="U89" t="n">
        <v>-0.043</v>
      </c>
      <c r="V89" t="n">
        <v>-0.025</v>
      </c>
      <c r="W89" t="n">
        <v>0.0296</v>
      </c>
      <c r="X89" t="n">
        <v>-0.1425289033614945</v>
      </c>
      <c r="Y89" t="n">
        <v>-0.1338</v>
      </c>
      <c r="Z89" t="n">
        <v>0.0114</v>
      </c>
      <c r="AA89" t="n">
        <v>-0.0233</v>
      </c>
      <c r="AB89" t="n">
        <v>-1.031644073141736</v>
      </c>
      <c r="AC89" t="n">
        <v>-1.089</v>
      </c>
      <c r="AD89" t="n">
        <v>-0.2649</v>
      </c>
      <c r="AE89" t="n">
        <v>0.2811</v>
      </c>
      <c r="AF89" t="n">
        <v>85.13469902784794</v>
      </c>
      <c r="AG89" t="n">
        <v>84.31950000000001</v>
      </c>
      <c r="AH89" t="n">
        <v>-10.3769</v>
      </c>
      <c r="AI89" t="n">
        <v>11.4794</v>
      </c>
      <c r="AJ89" t="n">
        <v>0.9547335948258606</v>
      </c>
      <c r="AK89" t="n">
        <v>0.9350000000000001</v>
      </c>
      <c r="AL89" t="n">
        <v>-0.0611</v>
      </c>
      <c r="AM89" t="n">
        <v>0.0415</v>
      </c>
      <c r="AN89" t="n">
        <v>0.2332094748372208</v>
      </c>
      <c r="AO89" t="n">
        <v>0.2356</v>
      </c>
      <c r="AP89" t="n">
        <v>-0.0078</v>
      </c>
      <c r="AQ89" t="n">
        <v>0.0091</v>
      </c>
      <c r="AR89" t="n">
        <v>4.421129878198176</v>
      </c>
      <c r="AS89" t="n">
        <v>4.4195</v>
      </c>
      <c r="AT89" t="n">
        <v>-0.005</v>
      </c>
      <c r="AU89" t="n">
        <v>0.0048</v>
      </c>
      <c r="AV89" t="n">
        <v>-0.2271670621153798</v>
      </c>
      <c r="AW89" t="n">
        <v>-0.2562</v>
      </c>
      <c r="AX89" t="n">
        <v>-0.1157</v>
      </c>
      <c r="AY89" t="n">
        <v>0.1429</v>
      </c>
      <c r="AZ89" t="n">
        <v>-0.4913952365419816</v>
      </c>
      <c r="BA89" t="n">
        <v>-0.4424</v>
      </c>
      <c r="BB89" t="n">
        <v>-0.0596</v>
      </c>
      <c r="BC89" t="n">
        <v>0.0809</v>
      </c>
      <c r="BD89" t="n">
        <v>3.387838591771812</v>
      </c>
      <c r="BE89" t="n">
        <v>3.2605</v>
      </c>
      <c r="BF89" t="n">
        <v>-0.8673</v>
      </c>
      <c r="BG89" t="n">
        <v>0.529</v>
      </c>
    </row>
    <row r="90" ht="27" customHeight="1" s="9">
      <c r="A90" s="3" t="n">
        <v>88</v>
      </c>
      <c r="B90" s="10">
        <f>IFERROR(AVERAGE(F90,L90,I90),"")</f>
        <v/>
      </c>
      <c r="C90" s="11" t="n">
        <v>3</v>
      </c>
      <c r="D90" s="11" t="inlineStr">
        <is>
          <t>A</t>
        </is>
      </c>
      <c r="E90" s="5" t="inlineStr">
        <is>
          <t>A</t>
        </is>
      </c>
      <c r="F90" s="3" t="n">
        <v>0.7115</v>
      </c>
      <c r="G90" s="4" t="inlineStr">
        <is>
          <t>Hb,O3a,O3b</t>
        </is>
      </c>
      <c r="H90" s="5" t="inlineStr">
        <is>
          <t>A</t>
        </is>
      </c>
      <c r="I90" s="3" t="n">
        <v>0.712</v>
      </c>
      <c r="J90" s="4" t="inlineStr">
        <is>
          <t>Hb,O3a,O3b</t>
        </is>
      </c>
      <c r="K90" s="5" t="inlineStr">
        <is>
          <t>A</t>
        </is>
      </c>
      <c r="L90" s="3" t="n">
        <v>0.711</v>
      </c>
      <c r="M90" s="4" t="inlineStr">
        <is>
          <t>Hb,O3b</t>
        </is>
      </c>
      <c r="N90" s="6" t="n"/>
      <c r="P90" t="n">
        <v>42.024038</v>
      </c>
      <c r="Q90" t="n">
        <v>-3.3882531</v>
      </c>
      <c r="R90" t="n">
        <v>9.381</v>
      </c>
      <c r="S90" t="n">
        <v>0.081</v>
      </c>
      <c r="T90" t="n">
        <v>-0.1094154943021321</v>
      </c>
      <c r="U90" t="n">
        <v>-0.1064</v>
      </c>
      <c r="V90" t="n">
        <v>-0.0242</v>
      </c>
      <c r="W90" t="n">
        <v>0.0248</v>
      </c>
      <c r="X90" t="n">
        <v>0.05286651625421127</v>
      </c>
      <c r="Y90" t="n">
        <v>0.0251</v>
      </c>
      <c r="Z90" t="n">
        <v>-0.07539999999999999</v>
      </c>
      <c r="AA90" t="n">
        <v>0.0731</v>
      </c>
      <c r="AB90" t="n">
        <v>2.422902320903566</v>
      </c>
      <c r="AC90" t="n">
        <v>2.4324</v>
      </c>
      <c r="AD90" t="n">
        <v>-0.0376</v>
      </c>
      <c r="AE90" t="n">
        <v>0.0338</v>
      </c>
      <c r="AF90" t="n">
        <v>155.601571568412</v>
      </c>
      <c r="AG90" t="n">
        <v>124.9656</v>
      </c>
      <c r="AH90" t="n">
        <v>-12.0493</v>
      </c>
      <c r="AI90" t="n">
        <v>11.1047</v>
      </c>
      <c r="AJ90" t="n">
        <v>0.4506590514830063</v>
      </c>
      <c r="AK90" t="n">
        <v>0.4808</v>
      </c>
      <c r="AL90" t="n">
        <v>-0.07140000000000001</v>
      </c>
      <c r="AM90" t="n">
        <v>0.0848</v>
      </c>
      <c r="AN90" t="n">
        <v>0.6501214352578426</v>
      </c>
      <c r="AO90" t="n">
        <v>0.6318</v>
      </c>
      <c r="AP90" t="n">
        <v>-0.0475</v>
      </c>
      <c r="AQ90" t="n">
        <v>0.0474</v>
      </c>
      <c r="AR90" t="n">
        <v>4.413630433102572</v>
      </c>
      <c r="AS90" t="n">
        <v>4.413</v>
      </c>
      <c r="AT90" t="n">
        <v>-0.0073</v>
      </c>
      <c r="AU90" t="n">
        <v>0.0072</v>
      </c>
      <c r="AV90" t="n">
        <v>0.1623238430708722</v>
      </c>
      <c r="AW90" t="n">
        <v>0.1536</v>
      </c>
      <c r="AX90" t="n">
        <v>-0.0172</v>
      </c>
      <c r="AY90" t="n">
        <v>0.0182</v>
      </c>
      <c r="AZ90" t="n">
        <v>0.1669607831522142</v>
      </c>
      <c r="BA90" t="n">
        <v>0.1855</v>
      </c>
      <c r="BB90" t="n">
        <v>-0.0265</v>
      </c>
      <c r="BC90" t="n">
        <v>0.0327</v>
      </c>
      <c r="BD90" t="n">
        <v>2.042502894555271</v>
      </c>
      <c r="BE90" t="n">
        <v>1.6103</v>
      </c>
      <c r="BF90" t="n">
        <v>-0.2617</v>
      </c>
      <c r="BG90" t="n">
        <v>0.268</v>
      </c>
    </row>
    <row r="91" ht="27" customHeight="1" s="9">
      <c r="A91" s="3" t="n">
        <v>89</v>
      </c>
      <c r="B91" s="10">
        <f>IFERROR(AVERAGE(F91,L91,I91),"")</f>
        <v/>
      </c>
      <c r="C91" s="11" t="n">
        <v>3</v>
      </c>
      <c r="D91" s="11" t="inlineStr">
        <is>
          <t>A</t>
        </is>
      </c>
      <c r="E91" s="5" t="inlineStr">
        <is>
          <t>A</t>
        </is>
      </c>
      <c r="F91" s="3" t="n">
        <v>0.508</v>
      </c>
      <c r="G91" s="4" t="inlineStr">
        <is>
          <t>Hb,O3a,O3b</t>
        </is>
      </c>
      <c r="H91" s="5" t="inlineStr">
        <is>
          <t>A</t>
        </is>
      </c>
      <c r="I91" s="3" t="n">
        <v>0.508</v>
      </c>
      <c r="J91" s="4" t="inlineStr">
        <is>
          <t>Hb,O3a,O3b</t>
        </is>
      </c>
      <c r="K91" s="5" t="inlineStr">
        <is>
          <t>B (sky)</t>
        </is>
      </c>
      <c r="L91" s="3" t="n">
        <v>0.508</v>
      </c>
      <c r="M91" s="4" t="inlineStr">
        <is>
          <t>O3b</t>
        </is>
      </c>
      <c r="N91" s="6" t="n"/>
      <c r="P91" t="n">
        <v>41.945192</v>
      </c>
      <c r="Q91" t="n">
        <v>-3.3555771</v>
      </c>
    </row>
    <row r="92" ht="27" customHeight="1" s="9">
      <c r="A92" s="3" t="n">
        <v>90</v>
      </c>
      <c r="B92" s="10">
        <f>IFERROR(AVERAGE(F92,L92,I92),"")</f>
        <v/>
      </c>
      <c r="C92" s="11" t="n">
        <v>3</v>
      </c>
      <c r="D92" s="11" t="inlineStr">
        <is>
          <t>B</t>
        </is>
      </c>
      <c r="E92" s="5" t="inlineStr">
        <is>
          <t>E (fc)</t>
        </is>
      </c>
      <c r="H92" s="5" t="inlineStr">
        <is>
          <t>B (sky)</t>
        </is>
      </c>
      <c r="I92" s="3" t="n">
        <v>0.372</v>
      </c>
      <c r="J92" s="4" t="inlineStr">
        <is>
          <t>N2a,N2b,Ha</t>
        </is>
      </c>
      <c r="K92" s="5" t="inlineStr">
        <is>
          <t>B (sky)</t>
        </is>
      </c>
      <c r="L92" s="3" t="n">
        <v>0.372</v>
      </c>
      <c r="M92" s="4" t="inlineStr">
        <is>
          <t>N2a,N2b,Ha</t>
        </is>
      </c>
      <c r="N92" s="6" t="n"/>
      <c r="O92" s="4" t="inlineStr">
        <is>
          <t>N2a</t>
        </is>
      </c>
      <c r="P92" t="n">
        <v>42.002538</v>
      </c>
      <c r="Q92" t="n">
        <v>-3.385573</v>
      </c>
      <c r="R92" t="n">
        <v>9.977</v>
      </c>
      <c r="S92" t="n">
        <v>0.003</v>
      </c>
      <c r="T92" t="n">
        <v>-0.03214266712126143</v>
      </c>
      <c r="U92" t="n">
        <v>-0.0587</v>
      </c>
      <c r="V92" t="n">
        <v>-0.0202</v>
      </c>
      <c r="W92" t="n">
        <v>0.0177</v>
      </c>
      <c r="X92" t="n">
        <v>0.1266252156323045</v>
      </c>
      <c r="Y92" t="n">
        <v>0.1158</v>
      </c>
      <c r="Z92" t="n">
        <v>0.0351</v>
      </c>
      <c r="AA92" t="n">
        <v>-0.0239</v>
      </c>
      <c r="AB92" t="n">
        <v>-2.548811737696832</v>
      </c>
      <c r="AC92" t="n">
        <v>-2.576</v>
      </c>
      <c r="AD92" t="n">
        <v>-0.0216</v>
      </c>
      <c r="AE92" t="n">
        <v>0.0219</v>
      </c>
      <c r="AF92" t="n">
        <v>357.614324695126</v>
      </c>
      <c r="AG92" t="n">
        <v>297.2682</v>
      </c>
      <c r="AH92" t="n">
        <v>-13.2394</v>
      </c>
      <c r="AI92" t="n">
        <v>14.6058</v>
      </c>
      <c r="AJ92" t="n">
        <v>0.4685906593799</v>
      </c>
      <c r="AK92" t="n">
        <v>0.4521</v>
      </c>
      <c r="AL92" t="n">
        <v>-0.035</v>
      </c>
      <c r="AM92" t="n">
        <v>0.0284</v>
      </c>
      <c r="AN92" t="n">
        <v>0.6796494093842813</v>
      </c>
      <c r="AO92" t="n">
        <v>0.6954</v>
      </c>
      <c r="AP92" t="n">
        <v>-0.02</v>
      </c>
      <c r="AQ92" t="n">
        <v>0.0263</v>
      </c>
      <c r="AR92" t="n">
        <v>4.944524446919429</v>
      </c>
      <c r="AS92" t="n">
        <v>4.9445</v>
      </c>
      <c r="AT92" t="n">
        <v>-0.0042</v>
      </c>
      <c r="AU92" t="n">
        <v>0.0044</v>
      </c>
      <c r="AV92" t="n">
        <v>-0.08168637950103852</v>
      </c>
      <c r="AW92" t="n">
        <v>-0.0781</v>
      </c>
      <c r="AX92" t="n">
        <v>-0.0075</v>
      </c>
      <c r="AY92" t="n">
        <v>0.0072</v>
      </c>
      <c r="AZ92" t="n">
        <v>-0.01565333336899832</v>
      </c>
      <c r="BA92" t="n">
        <v>-0.0152</v>
      </c>
      <c r="BB92" t="n">
        <v>-0.0052</v>
      </c>
      <c r="BC92" t="n">
        <v>0.005</v>
      </c>
      <c r="BD92" t="n">
        <v>0.9523568611815731</v>
      </c>
      <c r="BE92" t="n">
        <v>0.6712</v>
      </c>
      <c r="BF92" t="n">
        <v>-0.0838</v>
      </c>
      <c r="BG92" t="n">
        <v>0.09080000000000001</v>
      </c>
    </row>
    <row r="93" ht="27" customHeight="1" s="9">
      <c r="A93" s="3" t="n">
        <v>91</v>
      </c>
      <c r="B93" s="10">
        <f>IFERROR(AVERAGE(F93,L93,I93),"")</f>
        <v/>
      </c>
      <c r="C93" s="11" t="n">
        <v>3</v>
      </c>
      <c r="D93" s="11" t="inlineStr">
        <is>
          <t>A</t>
        </is>
      </c>
      <c r="E93" s="5" t="inlineStr">
        <is>
          <t>A</t>
        </is>
      </c>
      <c r="F93" s="3" t="n">
        <v>0.496</v>
      </c>
      <c r="G93" s="4" t="inlineStr">
        <is>
          <t>Hb,O3a,O3b</t>
        </is>
      </c>
      <c r="H93" s="5" t="inlineStr">
        <is>
          <t>A</t>
        </is>
      </c>
      <c r="I93" s="3" t="n">
        <v>0.495</v>
      </c>
      <c r="J93" s="4" t="inlineStr">
        <is>
          <t>Hb,O3a,O3b</t>
        </is>
      </c>
      <c r="K93" s="5" t="inlineStr">
        <is>
          <t>B (sky)</t>
        </is>
      </c>
      <c r="L93" s="3" t="n">
        <v>0.495</v>
      </c>
      <c r="M93" s="4" t="inlineStr">
        <is>
          <t>Hb,O3b</t>
        </is>
      </c>
      <c r="N93" s="6" t="n"/>
      <c r="O93" s="4" t="inlineStr">
        <is>
          <t>O3a</t>
        </is>
      </c>
      <c r="P93" t="n">
        <v>41.986531</v>
      </c>
      <c r="Q93" t="n">
        <v>-3.3820542</v>
      </c>
      <c r="R93" t="n">
        <v>9.483000000000001</v>
      </c>
      <c r="S93" t="n">
        <v>0.07199999999999999</v>
      </c>
      <c r="T93" t="n">
        <v>-0.148029656790458</v>
      </c>
      <c r="U93" t="n">
        <v>-0.07140000000000001</v>
      </c>
      <c r="V93" t="n">
        <v>-0.0438</v>
      </c>
      <c r="W93" t="n">
        <v>0.0507</v>
      </c>
      <c r="X93" t="n">
        <v>-0.01322734339511414</v>
      </c>
      <c r="Y93" t="n">
        <v>0.0346</v>
      </c>
      <c r="Z93" t="n">
        <v>-0.0256</v>
      </c>
      <c r="AA93" t="n">
        <v>0.0292</v>
      </c>
      <c r="AB93" t="n">
        <v>1.811231938668469</v>
      </c>
      <c r="AC93" t="n">
        <v>1.8229</v>
      </c>
      <c r="AD93" t="n">
        <v>-0.0197</v>
      </c>
      <c r="AE93" t="n">
        <v>0.02</v>
      </c>
      <c r="AF93" t="n">
        <v>189.9587153675876</v>
      </c>
      <c r="AG93" t="n">
        <v>169.7609</v>
      </c>
      <c r="AH93" t="n">
        <v>-8.4826</v>
      </c>
      <c r="AI93" t="n">
        <v>8.275</v>
      </c>
      <c r="AJ93" t="n">
        <v>0.5949146268998886</v>
      </c>
      <c r="AK93" t="n">
        <v>0.4967</v>
      </c>
      <c r="AL93" t="n">
        <v>-0.0588</v>
      </c>
      <c r="AM93" t="n">
        <v>0.0553</v>
      </c>
      <c r="AN93" t="n">
        <v>0.7064447812113543</v>
      </c>
      <c r="AO93" t="n">
        <v>0.7718</v>
      </c>
      <c r="AP93" t="n">
        <v>-0.037</v>
      </c>
      <c r="AQ93" t="n">
        <v>0.0456</v>
      </c>
      <c r="AR93" t="n">
        <v>4.942106513942374</v>
      </c>
      <c r="AS93" t="n">
        <v>4.9424</v>
      </c>
      <c r="AT93" t="n">
        <v>-0.0043</v>
      </c>
      <c r="AU93" t="n">
        <v>0.0042</v>
      </c>
      <c r="AV93" t="n">
        <v>0.2316599190146682</v>
      </c>
      <c r="AW93" t="n">
        <v>0.2363</v>
      </c>
      <c r="AX93" t="n">
        <v>-0.0086</v>
      </c>
      <c r="AY93" t="n">
        <v>0.008399999999999999</v>
      </c>
      <c r="AZ93" t="n">
        <v>-0.02919598193158746</v>
      </c>
      <c r="BA93" t="n">
        <v>-0.0277</v>
      </c>
      <c r="BB93" t="n">
        <v>-0.0065</v>
      </c>
      <c r="BC93" t="n">
        <v>0.006</v>
      </c>
      <c r="BD93" t="n">
        <v>0.4932655225296541</v>
      </c>
      <c r="BE93" t="n">
        <v>0.4753</v>
      </c>
      <c r="BF93" t="n">
        <v>-0.0733</v>
      </c>
      <c r="BG93" t="n">
        <v>0.0828</v>
      </c>
    </row>
    <row r="94" ht="27" customHeight="1" s="9">
      <c r="A94" s="3" t="n">
        <v>92</v>
      </c>
      <c r="B94" s="10">
        <f>IFERROR(AVERAGE(F94,L94,I94),"")</f>
        <v/>
      </c>
      <c r="C94" s="11" t="n">
        <v>3</v>
      </c>
      <c r="D94" s="11" t="inlineStr">
        <is>
          <t>B</t>
        </is>
      </c>
      <c r="E94" s="5" t="inlineStr">
        <is>
          <t>B (sky)</t>
        </is>
      </c>
      <c r="F94" s="3" t="n">
        <v>0.603</v>
      </c>
      <c r="G94" s="4" t="inlineStr">
        <is>
          <t>Hb,O3b</t>
        </is>
      </c>
      <c r="H94" s="5" t="inlineStr">
        <is>
          <t>B (sky)</t>
        </is>
      </c>
      <c r="I94" s="3" t="n">
        <v>0.603</v>
      </c>
      <c r="J94" s="4" t="inlineStr">
        <is>
          <t>Hb,O3b</t>
        </is>
      </c>
      <c r="K94" s="5" t="inlineStr">
        <is>
          <t>E (fc)</t>
        </is>
      </c>
      <c r="N94" s="6" t="n"/>
      <c r="P94" t="n">
        <v>41.946963</v>
      </c>
      <c r="Q94" t="n">
        <v>-3.3686725</v>
      </c>
      <c r="R94" t="n">
        <v>10.088</v>
      </c>
      <c r="S94" t="n">
        <v>0.018</v>
      </c>
      <c r="T94" t="n">
        <v>-0.1488989976152952</v>
      </c>
      <c r="U94" t="n">
        <v>-0.134</v>
      </c>
      <c r="V94" t="n">
        <v>0.0116</v>
      </c>
      <c r="W94" t="n">
        <v>-0.0211</v>
      </c>
      <c r="X94" t="n">
        <v>-0.1490009590206577</v>
      </c>
      <c r="Y94" t="n">
        <v>-0.108</v>
      </c>
      <c r="Z94" t="n">
        <v>0.0307</v>
      </c>
      <c r="AA94" t="n">
        <v>-0.0594</v>
      </c>
      <c r="AB94" t="n">
        <v>-2.476862336239026</v>
      </c>
      <c r="AC94" t="n">
        <v>-2.4696</v>
      </c>
      <c r="AD94" t="n">
        <v>-0.0353</v>
      </c>
      <c r="AE94" t="n">
        <v>0.0407</v>
      </c>
      <c r="AF94" t="n">
        <v>135.4975592478357</v>
      </c>
      <c r="AG94" t="n">
        <v>144.1356</v>
      </c>
      <c r="AH94" t="n">
        <v>-8.4659</v>
      </c>
      <c r="AI94" t="n">
        <v>10.9573</v>
      </c>
      <c r="AJ94" t="n">
        <v>0.4910792712691396</v>
      </c>
      <c r="AK94" t="n">
        <v>0.5491</v>
      </c>
      <c r="AL94" t="n">
        <v>-0.0361</v>
      </c>
      <c r="AM94" t="n">
        <v>0.0742</v>
      </c>
      <c r="AN94" t="n">
        <v>1.011740330437324</v>
      </c>
      <c r="AO94" t="n">
        <v>0.9758</v>
      </c>
      <c r="AP94" t="n">
        <v>-0.0539</v>
      </c>
      <c r="AQ94" t="n">
        <v>0.0336</v>
      </c>
      <c r="AR94" t="n">
        <v>5.041515899972467</v>
      </c>
      <c r="AS94" t="n">
        <v>5.0458</v>
      </c>
      <c r="AT94" t="n">
        <v>-0.0059</v>
      </c>
      <c r="AU94" t="n">
        <v>0.0058</v>
      </c>
      <c r="AV94" t="n">
        <v>-0.1002778378365035</v>
      </c>
      <c r="AW94" t="n">
        <v>-0.1057</v>
      </c>
      <c r="AX94" t="n">
        <v>-0.011</v>
      </c>
      <c r="AY94" t="n">
        <v>0.0108</v>
      </c>
      <c r="AZ94" t="n">
        <v>0.06831995548079539</v>
      </c>
      <c r="BA94" t="n">
        <v>0.0818</v>
      </c>
      <c r="BB94" t="n">
        <v>-0.008500000000000001</v>
      </c>
      <c r="BC94" t="n">
        <v>0.0119</v>
      </c>
      <c r="BD94" t="n">
        <v>0.07262489970978896</v>
      </c>
      <c r="BE94" t="n">
        <v>0.1102</v>
      </c>
      <c r="BF94" t="n">
        <v>-0.0591</v>
      </c>
      <c r="BG94" t="n">
        <v>0.0699</v>
      </c>
    </row>
    <row r="95" ht="27" customHeight="1" s="9">
      <c r="A95" s="3" t="n">
        <v>93</v>
      </c>
      <c r="B95" s="10">
        <f>IFERROR(AVERAGE(F95,L95,I95),"")</f>
        <v/>
      </c>
      <c r="C95" s="11" t="n">
        <v>3</v>
      </c>
      <c r="D95" s="11" t="inlineStr">
        <is>
          <t>A</t>
        </is>
      </c>
      <c r="E95" s="5" t="inlineStr">
        <is>
          <t>A</t>
        </is>
      </c>
      <c r="F95" s="3" t="n">
        <v>0.4965</v>
      </c>
      <c r="G95" s="4" t="inlineStr">
        <is>
          <t>O3a,O3b</t>
        </is>
      </c>
      <c r="H95" s="5" t="inlineStr">
        <is>
          <t>A</t>
        </is>
      </c>
      <c r="I95" s="3" t="n">
        <v>0.496</v>
      </c>
      <c r="J95" s="4" t="inlineStr">
        <is>
          <t>O3a</t>
        </is>
      </c>
      <c r="K95" s="5" t="inlineStr">
        <is>
          <t>A</t>
        </is>
      </c>
      <c r="L95" s="3" t="n">
        <v>0.496</v>
      </c>
      <c r="M95" s="4" t="inlineStr">
        <is>
          <t>O3a</t>
        </is>
      </c>
      <c r="N95" s="6" t="n"/>
      <c r="P95" t="n">
        <v>41.991234</v>
      </c>
      <c r="Q95" t="n">
        <v>-3.3921612</v>
      </c>
      <c r="R95" t="n">
        <v>9.228</v>
      </c>
      <c r="S95" t="n">
        <v>0.106</v>
      </c>
      <c r="T95" t="n">
        <v>-0.146946234436773</v>
      </c>
      <c r="U95" t="n">
        <v>-0.1432</v>
      </c>
      <c r="V95" t="n">
        <v>0.0049</v>
      </c>
      <c r="W95" t="n">
        <v>-0.0089</v>
      </c>
      <c r="X95" t="n">
        <v>0.04208024902104407</v>
      </c>
      <c r="Y95" t="n">
        <v>0.061</v>
      </c>
      <c r="Z95" t="n">
        <v>-0.0355</v>
      </c>
      <c r="AA95" t="n">
        <v>0.0353</v>
      </c>
      <c r="AB95" t="n">
        <v>2.469440369670029</v>
      </c>
      <c r="AC95" t="n">
        <v>2.4585</v>
      </c>
      <c r="AD95" t="n">
        <v>-0.0183</v>
      </c>
      <c r="AE95" t="n">
        <v>0.0183</v>
      </c>
      <c r="AF95" t="n">
        <v>224.8043780077354</v>
      </c>
      <c r="AG95" t="n">
        <v>183.5303</v>
      </c>
      <c r="AH95" t="n">
        <v>-8.4613</v>
      </c>
      <c r="AI95" t="n">
        <v>8.547000000000001</v>
      </c>
      <c r="AJ95" t="n">
        <v>0.5968933824495659</v>
      </c>
      <c r="AK95" t="n">
        <v>0.5899</v>
      </c>
      <c r="AL95" t="n">
        <v>-0.0445</v>
      </c>
      <c r="AM95" t="n">
        <v>0.0451</v>
      </c>
      <c r="AN95" t="n">
        <v>0.7881552763133286</v>
      </c>
      <c r="AO95" t="n">
        <v>0.7932</v>
      </c>
      <c r="AP95" t="n">
        <v>-0.0302</v>
      </c>
      <c r="AQ95" t="n">
        <v>0.0325</v>
      </c>
      <c r="AR95" t="n">
        <v>4.652234178844404</v>
      </c>
      <c r="AS95" t="n">
        <v>4.651</v>
      </c>
      <c r="AT95" t="n">
        <v>-0.0067</v>
      </c>
      <c r="AU95" t="n">
        <v>0.0071</v>
      </c>
      <c r="AV95" t="n">
        <v>0.1273896608576233</v>
      </c>
      <c r="AW95" t="n">
        <v>0.1234</v>
      </c>
      <c r="AX95" t="n">
        <v>-0.0122</v>
      </c>
      <c r="AY95" t="n">
        <v>0.0124</v>
      </c>
      <c r="AZ95" t="n">
        <v>0.01180127704079359</v>
      </c>
      <c r="BA95" t="n">
        <v>0.0106</v>
      </c>
      <c r="BB95" t="n">
        <v>-0.0078</v>
      </c>
      <c r="BC95" t="n">
        <v>0.007900000000000001</v>
      </c>
      <c r="BD95" t="n">
        <v>0.5454945273311625</v>
      </c>
      <c r="BE95" t="n">
        <v>0.3147</v>
      </c>
      <c r="BF95" t="n">
        <v>-0.07099999999999999</v>
      </c>
      <c r="BG95" t="n">
        <v>0.0708</v>
      </c>
    </row>
    <row r="96" ht="27" customHeight="1" s="9">
      <c r="A96" s="3" t="n">
        <v>94</v>
      </c>
      <c r="B96" s="10">
        <f>IFERROR(AVERAGE(F96,L96,I96),"")</f>
        <v/>
      </c>
      <c r="C96" s="11" t="n"/>
      <c r="D96" s="11" t="inlineStr">
        <is>
          <t>C</t>
        </is>
      </c>
      <c r="E96" s="5" t="inlineStr">
        <is>
          <t>C (cs)</t>
        </is>
      </c>
      <c r="H96" s="5" t="inlineStr">
        <is>
          <t>C (cs)</t>
        </is>
      </c>
      <c r="I96" s="3" t="n"/>
      <c r="K96" s="5" t="inlineStr">
        <is>
          <t>C (cs)</t>
        </is>
      </c>
      <c r="N96" s="6" t="n"/>
      <c r="P96" t="n">
        <v>41.985435</v>
      </c>
      <c r="Q96" t="n">
        <v>-3.3937432</v>
      </c>
    </row>
    <row r="97" ht="27" customHeight="1" s="9">
      <c r="A97" s="3" t="n">
        <v>95</v>
      </c>
      <c r="B97" s="10">
        <f>IFERROR(AVERAGE(F97,L97,I97),"")</f>
        <v/>
      </c>
      <c r="C97" s="11" t="n">
        <v>3</v>
      </c>
      <c r="D97" s="11" t="inlineStr">
        <is>
          <t>A</t>
        </is>
      </c>
      <c r="E97" s="5" t="inlineStr">
        <is>
          <t>A</t>
        </is>
      </c>
      <c r="F97" s="3" t="n">
        <v>0.9395</v>
      </c>
      <c r="G97" s="4" t="inlineStr">
        <is>
          <t>O2</t>
        </is>
      </c>
      <c r="H97" s="5" t="inlineStr">
        <is>
          <t>A</t>
        </is>
      </c>
      <c r="I97" s="3" t="n">
        <v>0.9399999999999999</v>
      </c>
      <c r="J97" s="4" t="inlineStr">
        <is>
          <t>O2</t>
        </is>
      </c>
      <c r="K97" s="5" t="inlineStr">
        <is>
          <t>A</t>
        </is>
      </c>
      <c r="L97" s="3" t="n">
        <v>0.9399999999999999</v>
      </c>
      <c r="M97" s="4" t="inlineStr">
        <is>
          <t>O2</t>
        </is>
      </c>
      <c r="N97" s="6" t="n"/>
      <c r="P97" t="n">
        <v>42.00292</v>
      </c>
      <c r="Q97" t="n">
        <v>-3.4046323</v>
      </c>
      <c r="R97" t="n">
        <v>9.257</v>
      </c>
      <c r="S97" t="n">
        <v>0.054</v>
      </c>
      <c r="T97" t="n">
        <v>-0.09003507215977252</v>
      </c>
      <c r="U97" t="n">
        <v>0.005</v>
      </c>
      <c r="V97" t="n">
        <v>-0.06270000000000001</v>
      </c>
      <c r="W97" t="n">
        <v>0.0544</v>
      </c>
      <c r="X97" t="n">
        <v>-0.1128164102997155</v>
      </c>
      <c r="Y97" t="n">
        <v>-0.0457</v>
      </c>
      <c r="Z97" t="n">
        <v>-0.065</v>
      </c>
      <c r="AA97" t="n">
        <v>0.0581</v>
      </c>
      <c r="AB97" t="n">
        <v>-2.750386680078098</v>
      </c>
      <c r="AC97" t="n">
        <v>-2.7312</v>
      </c>
      <c r="AD97" t="n">
        <v>-0.0408</v>
      </c>
      <c r="AE97" t="n">
        <v>0.0418</v>
      </c>
      <c r="AF97" t="n">
        <v>81.40157348216403</v>
      </c>
      <c r="AG97" t="n">
        <v>90.3571</v>
      </c>
      <c r="AH97" t="n">
        <v>-9.3687</v>
      </c>
      <c r="AI97" t="n">
        <v>11.0426</v>
      </c>
      <c r="AJ97" t="n">
        <v>0.4861598632133796</v>
      </c>
      <c r="AK97" t="n">
        <v>0.6233</v>
      </c>
      <c r="AL97" t="n">
        <v>-0.109</v>
      </c>
      <c r="AM97" t="n">
        <v>0.1119</v>
      </c>
      <c r="AN97" t="n">
        <v>0.7643424078576198</v>
      </c>
      <c r="AO97" t="n">
        <v>0.678</v>
      </c>
      <c r="AP97" t="n">
        <v>-0.0515</v>
      </c>
      <c r="AQ97" t="n">
        <v>0.0623</v>
      </c>
      <c r="AR97" t="n">
        <v>4.417299015853175</v>
      </c>
      <c r="AS97" t="n">
        <v>4.4164</v>
      </c>
      <c r="AT97" t="n">
        <v>-0.0071</v>
      </c>
      <c r="AU97" t="n">
        <v>0.0075</v>
      </c>
      <c r="AV97" t="n">
        <v>-0.09258735734792634</v>
      </c>
      <c r="AW97" t="n">
        <v>-0.0975</v>
      </c>
      <c r="AX97" t="n">
        <v>-0.022</v>
      </c>
      <c r="AY97" t="n">
        <v>0.0232</v>
      </c>
      <c r="AZ97" t="n">
        <v>0.2225041688929852</v>
      </c>
      <c r="BA97" t="n">
        <v>0.2852</v>
      </c>
      <c r="BB97" t="n">
        <v>-0.0467</v>
      </c>
      <c r="BC97" t="n">
        <v>0.0488</v>
      </c>
      <c r="BD97" t="n">
        <v>0.6526980418806604</v>
      </c>
      <c r="BE97" t="n">
        <v>0.5894</v>
      </c>
      <c r="BF97" t="n">
        <v>-0.185</v>
      </c>
      <c r="BG97" t="n">
        <v>0.2388</v>
      </c>
    </row>
    <row r="98" ht="27" customHeight="1" s="9">
      <c r="A98" s="3" t="n">
        <v>96</v>
      </c>
      <c r="B98" s="10">
        <f>IFERROR(AVERAGE(F98,L98,I98),"")</f>
        <v/>
      </c>
      <c r="C98" s="11" t="n">
        <v>3</v>
      </c>
      <c r="D98" s="11" t="inlineStr">
        <is>
          <t>A</t>
        </is>
      </c>
      <c r="E98" s="5" t="inlineStr">
        <is>
          <t>A</t>
        </is>
      </c>
      <c r="F98" s="3" t="n">
        <v>0.495</v>
      </c>
      <c r="G98" s="4" t="inlineStr">
        <is>
          <t>O3a,O3b</t>
        </is>
      </c>
      <c r="H98" s="5" t="inlineStr">
        <is>
          <t>A</t>
        </is>
      </c>
      <c r="I98" s="3" t="n">
        <v>0.496</v>
      </c>
      <c r="J98" s="4" t="inlineStr">
        <is>
          <t>O3a,O3b</t>
        </is>
      </c>
      <c r="K98" s="5" t="inlineStr">
        <is>
          <t>F (ns)</t>
        </is>
      </c>
      <c r="N98" s="6" t="n"/>
      <c r="P98" t="n">
        <v>42.023171</v>
      </c>
      <c r="Q98" t="n">
        <v>-3.4192699</v>
      </c>
      <c r="R98" t="n">
        <v>9.443</v>
      </c>
      <c r="S98" t="n">
        <v>0.064</v>
      </c>
      <c r="T98" t="n">
        <v>0.1190462275367077</v>
      </c>
      <c r="U98" t="n">
        <v>0.1008</v>
      </c>
      <c r="V98" t="n">
        <v>-0.0358</v>
      </c>
      <c r="W98" t="n">
        <v>0.0311</v>
      </c>
      <c r="X98" t="n">
        <v>-0.09832966200685925</v>
      </c>
      <c r="Y98" t="n">
        <v>-0.1044</v>
      </c>
      <c r="Z98" t="n">
        <v>-0.0206</v>
      </c>
      <c r="AA98" t="n">
        <v>0.0197</v>
      </c>
      <c r="AB98" t="n">
        <v>-1.683320250946901</v>
      </c>
      <c r="AC98" t="n">
        <v>-1.7148</v>
      </c>
      <c r="AD98" t="n">
        <v>-0.0483</v>
      </c>
      <c r="AE98" t="n">
        <v>0.0497</v>
      </c>
      <c r="AF98" t="n">
        <v>145.50299256768</v>
      </c>
      <c r="AG98" t="n">
        <v>130.4652</v>
      </c>
      <c r="AH98" t="n">
        <v>-11.2684</v>
      </c>
      <c r="AI98" t="n">
        <v>11.4363</v>
      </c>
      <c r="AJ98" t="n">
        <v>0.668752719119821</v>
      </c>
      <c r="AK98" t="n">
        <v>0.6850000000000001</v>
      </c>
      <c r="AL98" t="n">
        <v>-0.0442</v>
      </c>
      <c r="AM98" t="n">
        <v>0.054</v>
      </c>
      <c r="AN98" t="n">
        <v>0.3398517380395251</v>
      </c>
      <c r="AO98" t="n">
        <v>0.3404</v>
      </c>
      <c r="AP98" t="n">
        <v>-0.0132</v>
      </c>
      <c r="AQ98" t="n">
        <v>0.0115</v>
      </c>
      <c r="AR98" t="n">
        <v>4.773111515661656</v>
      </c>
      <c r="AS98" t="n">
        <v>4.7751</v>
      </c>
      <c r="AT98" t="n">
        <v>-0.0029</v>
      </c>
      <c r="AU98" t="n">
        <v>0.0028</v>
      </c>
      <c r="AV98" t="n">
        <v>-0.1516284956771912</v>
      </c>
      <c r="AW98" t="n">
        <v>-0.1395</v>
      </c>
      <c r="AX98" t="n">
        <v>-0.0195</v>
      </c>
      <c r="AY98" t="n">
        <v>0.0193</v>
      </c>
      <c r="AZ98" t="n">
        <v>0.2531940939586446</v>
      </c>
      <c r="BA98" t="n">
        <v>0.2576</v>
      </c>
      <c r="BB98" t="n">
        <v>-0.0172</v>
      </c>
      <c r="BC98" t="n">
        <v>0.0225</v>
      </c>
      <c r="BD98" t="n">
        <v>1.016716428439446</v>
      </c>
      <c r="BE98" t="n">
        <v>0.8568</v>
      </c>
      <c r="BF98" t="n">
        <v>-0.1322</v>
      </c>
      <c r="BG98" t="n">
        <v>0.1452</v>
      </c>
    </row>
    <row r="99" ht="27" customHeight="1" s="9">
      <c r="A99" s="3" t="n">
        <v>97</v>
      </c>
      <c r="B99" s="10">
        <f>IFERROR(AVERAGE(F99,L99,I99),"")</f>
        <v/>
      </c>
      <c r="C99" s="11" t="n">
        <v>3</v>
      </c>
      <c r="D99" s="11" t="inlineStr">
        <is>
          <t>B</t>
        </is>
      </c>
      <c r="E99" s="5" t="inlineStr">
        <is>
          <t>B (sky)</t>
        </is>
      </c>
      <c r="F99" s="3" t="n">
        <v>0.5945</v>
      </c>
      <c r="G99" s="4" t="inlineStr">
        <is>
          <t>Hb,O3b</t>
        </is>
      </c>
      <c r="H99" s="5" t="inlineStr">
        <is>
          <t>B (sky)</t>
        </is>
      </c>
      <c r="I99" s="3" t="n">
        <v>0.596</v>
      </c>
      <c r="J99" s="4" t="inlineStr">
        <is>
          <t>Hb</t>
        </is>
      </c>
      <c r="K99" s="5" t="inlineStr">
        <is>
          <t>B (sky)</t>
        </is>
      </c>
      <c r="L99" s="3" t="n">
        <v>0.5955</v>
      </c>
      <c r="M99" s="4" t="inlineStr">
        <is>
          <t>Hb,O3b</t>
        </is>
      </c>
      <c r="N99" s="6" t="inlineStr">
        <is>
          <t>Only one galaxy at slit position but two continuum observed</t>
        </is>
      </c>
      <c r="O99" s="4" t="inlineStr">
        <is>
          <t>O3b</t>
        </is>
      </c>
      <c r="P99" t="n">
        <v>41.966123</v>
      </c>
      <c r="Q99" t="n">
        <v>-3.3964544</v>
      </c>
      <c r="R99" t="n">
        <v>9.612</v>
      </c>
      <c r="S99" t="n">
        <v>0.046</v>
      </c>
      <c r="T99" t="n">
        <v>0.1434693471984132</v>
      </c>
      <c r="U99" t="n">
        <v>0.1313</v>
      </c>
      <c r="V99" t="n">
        <v>0.0208</v>
      </c>
      <c r="W99" t="n">
        <v>-0.0129</v>
      </c>
      <c r="X99" t="n">
        <v>0.1435460763612748</v>
      </c>
      <c r="Y99" t="n">
        <v>0.1378</v>
      </c>
      <c r="Z99" t="n">
        <v>0.0168</v>
      </c>
      <c r="AA99" t="n">
        <v>-0.008800000000000001</v>
      </c>
      <c r="AB99" t="n">
        <v>-0.9356925565214387</v>
      </c>
      <c r="AC99" t="n">
        <v>-0.9273</v>
      </c>
      <c r="AD99" t="n">
        <v>-0.0459</v>
      </c>
      <c r="AE99" t="n">
        <v>0.0615</v>
      </c>
      <c r="AF99" t="n">
        <v>223.9861967409321</v>
      </c>
      <c r="AG99" t="n">
        <v>169.0003</v>
      </c>
      <c r="AH99" t="n">
        <v>-12.6615</v>
      </c>
      <c r="AI99" t="n">
        <v>12.3617</v>
      </c>
      <c r="AJ99" t="n">
        <v>0.6942644457232906</v>
      </c>
      <c r="AK99" t="n">
        <v>0.7048</v>
      </c>
      <c r="AL99" t="n">
        <v>-0.0197</v>
      </c>
      <c r="AM99" t="n">
        <v>0.0241</v>
      </c>
      <c r="AN99" t="n">
        <v>0.6269744847816581</v>
      </c>
      <c r="AO99" t="n">
        <v>0.6222</v>
      </c>
      <c r="AP99" t="n">
        <v>-0.0121</v>
      </c>
      <c r="AQ99" t="n">
        <v>0.0107</v>
      </c>
      <c r="AR99" t="n">
        <v>4.86307299009542</v>
      </c>
      <c r="AS99" t="n">
        <v>4.8615</v>
      </c>
      <c r="AT99" t="n">
        <v>-0.004</v>
      </c>
      <c r="AU99" t="n">
        <v>0.004</v>
      </c>
      <c r="AV99" t="n">
        <v>-0.4273209123774671</v>
      </c>
      <c r="AW99" t="n">
        <v>-0.4308</v>
      </c>
      <c r="AX99" t="n">
        <v>-0.0109</v>
      </c>
      <c r="AY99" t="n">
        <v>0.0128</v>
      </c>
      <c r="AZ99" t="n">
        <v>-0.08423751881278463</v>
      </c>
      <c r="BA99" t="n">
        <v>-0.09130000000000001</v>
      </c>
      <c r="BB99" t="n">
        <v>-0.0199</v>
      </c>
      <c r="BC99" t="n">
        <v>0.0178</v>
      </c>
      <c r="BD99" t="n">
        <v>2.315136044740008</v>
      </c>
      <c r="BE99" t="n">
        <v>1.5672</v>
      </c>
      <c r="BF99" t="n">
        <v>-0.2089</v>
      </c>
      <c r="BG99" t="n">
        <v>0.2455</v>
      </c>
    </row>
    <row r="100" ht="27" customHeight="1" s="9">
      <c r="A100" s="3" t="n">
        <v>98</v>
      </c>
      <c r="B100" s="10">
        <f>IFERROR(AVERAGE(F100,L100,I100),"")</f>
        <v/>
      </c>
      <c r="C100" s="11" t="n">
        <v>3</v>
      </c>
      <c r="D100" s="11" t="inlineStr">
        <is>
          <t>B</t>
        </is>
      </c>
      <c r="E100" s="5" t="inlineStr">
        <is>
          <t>B (sky)</t>
        </is>
      </c>
      <c r="F100" s="3" t="n">
        <v>0.659</v>
      </c>
      <c r="G100" s="4" t="inlineStr">
        <is>
          <t>Hb,O3b</t>
        </is>
      </c>
      <c r="H100" s="5" t="inlineStr">
        <is>
          <t>B (sky)</t>
        </is>
      </c>
      <c r="I100" s="3" t="n">
        <v>0.658</v>
      </c>
      <c r="J100" s="4" t="inlineStr">
        <is>
          <t>Hb</t>
        </is>
      </c>
      <c r="K100" s="5" t="inlineStr">
        <is>
          <t>E (fc)</t>
        </is>
      </c>
      <c r="N100" s="6" t="inlineStr">
        <is>
          <t>Only one faint emission feature</t>
        </is>
      </c>
      <c r="P100" t="n">
        <v>42.030413</v>
      </c>
      <c r="Q100" t="n">
        <v>-3.4348397</v>
      </c>
      <c r="R100" t="n">
        <v>9.888999999999999</v>
      </c>
      <c r="S100" t="n">
        <v>0.056</v>
      </c>
      <c r="T100" t="n">
        <v>-0.1423915755823937</v>
      </c>
      <c r="U100" t="n">
        <v>-0.1057</v>
      </c>
      <c r="V100" t="n">
        <v>0.0312</v>
      </c>
      <c r="W100" t="n">
        <v>-0.0442</v>
      </c>
      <c r="X100" t="n">
        <v>0.01755059590896324</v>
      </c>
      <c r="Y100" t="n">
        <v>-0.029</v>
      </c>
      <c r="Z100" t="n">
        <v>-0.0539</v>
      </c>
      <c r="AA100" t="n">
        <v>0.0549</v>
      </c>
      <c r="AB100" t="n">
        <v>2.707324796195581</v>
      </c>
      <c r="AC100" t="n">
        <v>2.7061</v>
      </c>
      <c r="AD100" t="n">
        <v>-0.0332</v>
      </c>
      <c r="AE100" t="n">
        <v>0.0328</v>
      </c>
      <c r="AF100" t="n">
        <v>153.6416702723022</v>
      </c>
      <c r="AG100" t="n">
        <v>158.0122</v>
      </c>
      <c r="AH100" t="n">
        <v>-9.139099999999999</v>
      </c>
      <c r="AI100" t="n">
        <v>10.5131</v>
      </c>
      <c r="AJ100" t="n">
        <v>0.4223517571931501</v>
      </c>
      <c r="AK100" t="n">
        <v>0.4716</v>
      </c>
      <c r="AL100" t="n">
        <v>-0.0549</v>
      </c>
      <c r="AM100" t="n">
        <v>0.0741</v>
      </c>
      <c r="AN100" t="n">
        <v>1.039136734808903</v>
      </c>
      <c r="AO100" t="n">
        <v>0.9792</v>
      </c>
      <c r="AP100" t="n">
        <v>-0.0638</v>
      </c>
      <c r="AQ100" t="n">
        <v>0.0583</v>
      </c>
      <c r="AR100" t="n">
        <v>4.74116923442315</v>
      </c>
      <c r="AS100" t="n">
        <v>4.7392</v>
      </c>
      <c r="AT100" t="n">
        <v>-0.0066</v>
      </c>
      <c r="AU100" t="n">
        <v>0.0068</v>
      </c>
      <c r="AV100" t="n">
        <v>0.1278338083071726</v>
      </c>
      <c r="AW100" t="n">
        <v>0.1253</v>
      </c>
      <c r="AX100" t="n">
        <v>-0.0153</v>
      </c>
      <c r="AY100" t="n">
        <v>0.0147</v>
      </c>
      <c r="AZ100" t="n">
        <v>0.1564079738561233</v>
      </c>
      <c r="BA100" t="n">
        <v>0.1742</v>
      </c>
      <c r="BB100" t="n">
        <v>-0.0202</v>
      </c>
      <c r="BC100" t="n">
        <v>0.0251</v>
      </c>
      <c r="BD100" t="n">
        <v>0.04434906080301978</v>
      </c>
      <c r="BE100" t="n">
        <v>0.0672</v>
      </c>
      <c r="BF100" t="n">
        <v>-0.0408</v>
      </c>
      <c r="BG100" t="n">
        <v>0.0767</v>
      </c>
    </row>
    <row r="101" ht="27" customHeight="1" s="9">
      <c r="A101" s="3" t="n">
        <v>99</v>
      </c>
      <c r="B101" s="10">
        <f>IFERROR(AVERAGE(F101,L101,I101),"")</f>
        <v/>
      </c>
      <c r="C101" s="11" t="n">
        <v>3</v>
      </c>
      <c r="D101" s="11" t="inlineStr">
        <is>
          <t>AS</t>
        </is>
      </c>
      <c r="E101" s="5" t="inlineStr">
        <is>
          <t>F (ns)</t>
        </is>
      </c>
      <c r="H101" s="5" t="inlineStr">
        <is>
          <t>A</t>
        </is>
      </c>
      <c r="I101" s="3" t="n">
        <v>0.612</v>
      </c>
      <c r="J101" s="4" t="inlineStr">
        <is>
          <t>Hb,O3b</t>
        </is>
      </c>
      <c r="K101" s="5" t="inlineStr">
        <is>
          <t>F (ns)</t>
        </is>
      </c>
      <c r="N101" s="6" t="n"/>
      <c r="P101" t="n">
        <v>42.006906</v>
      </c>
      <c r="Q101" t="n">
        <v>-3.4284461</v>
      </c>
      <c r="R101" t="n">
        <v>9.651999999999999</v>
      </c>
      <c r="S101" t="n">
        <v>0.045</v>
      </c>
      <c r="T101" t="n">
        <v>0.1314885693639257</v>
      </c>
      <c r="U101" t="n">
        <v>0.1017</v>
      </c>
      <c r="V101" t="n">
        <v>0.0506</v>
      </c>
      <c r="W101" t="n">
        <v>-0.0342</v>
      </c>
      <c r="X101" t="n">
        <v>-0.1262133095810255</v>
      </c>
      <c r="Y101" t="n">
        <v>-0.1295</v>
      </c>
      <c r="Z101" t="n">
        <v>0.0151</v>
      </c>
      <c r="AA101" t="n">
        <v>-0.0263</v>
      </c>
      <c r="AB101" t="n">
        <v>1.54720059562124</v>
      </c>
      <c r="AC101" t="n">
        <v>1.5447</v>
      </c>
      <c r="AD101" t="n">
        <v>-0.0325</v>
      </c>
      <c r="AE101" t="n">
        <v>0.047</v>
      </c>
      <c r="AF101" t="n">
        <v>254.2289208841351</v>
      </c>
      <c r="AG101" t="n">
        <v>176.3865</v>
      </c>
      <c r="AH101" t="n">
        <v>-27.9852</v>
      </c>
      <c r="AI101" t="n">
        <v>17.5319</v>
      </c>
      <c r="AJ101" t="n">
        <v>0.4865431029483469</v>
      </c>
      <c r="AK101" t="n">
        <v>0.5253</v>
      </c>
      <c r="AL101" t="n">
        <v>-0.0379</v>
      </c>
      <c r="AM101" t="n">
        <v>0.0586</v>
      </c>
      <c r="AN101" t="n">
        <v>0.5479842447007417</v>
      </c>
      <c r="AO101" t="n">
        <v>0.539</v>
      </c>
      <c r="AP101" t="n">
        <v>-0.0261</v>
      </c>
      <c r="AQ101" t="n">
        <v>0.0202</v>
      </c>
      <c r="AR101" t="n">
        <v>4.603600298995184</v>
      </c>
      <c r="AS101" t="n">
        <v>4.6079</v>
      </c>
      <c r="AT101" t="n">
        <v>-0.0043</v>
      </c>
      <c r="AU101" t="n">
        <v>0.0046</v>
      </c>
      <c r="AV101" t="n">
        <v>0.400057373946024</v>
      </c>
      <c r="AW101" t="n">
        <v>0.3892</v>
      </c>
      <c r="AX101" t="n">
        <v>-0.0169</v>
      </c>
      <c r="AY101" t="n">
        <v>0.0195</v>
      </c>
      <c r="AZ101" t="n">
        <v>-0.2020519365744735</v>
      </c>
      <c r="BA101" t="n">
        <v>-0.2199</v>
      </c>
      <c r="BB101" t="n">
        <v>-0.026</v>
      </c>
      <c r="BC101" t="n">
        <v>0.0181</v>
      </c>
      <c r="BD101" t="n">
        <v>1.196552830289459</v>
      </c>
      <c r="BE101" t="n">
        <v>0.6262</v>
      </c>
      <c r="BF101" t="n">
        <v>-0.1518</v>
      </c>
      <c r="BG101" t="n">
        <v>0.1418</v>
      </c>
    </row>
    <row r="102" ht="27" customHeight="1" s="9">
      <c r="A102" s="3" t="n">
        <v>100</v>
      </c>
      <c r="B102" s="10">
        <f>IFERROR(AVERAGE(F102,L102,I102),"")</f>
        <v/>
      </c>
      <c r="C102" s="11" t="n">
        <v>3</v>
      </c>
      <c r="D102" s="11" t="inlineStr">
        <is>
          <t>A</t>
        </is>
      </c>
      <c r="E102" s="5" t="inlineStr">
        <is>
          <t>A</t>
        </is>
      </c>
      <c r="F102" s="3" t="n">
        <v>0.7635</v>
      </c>
      <c r="G102" s="4" t="inlineStr">
        <is>
          <t>Hb</t>
        </is>
      </c>
      <c r="H102" s="5" t="inlineStr">
        <is>
          <t>A</t>
        </is>
      </c>
      <c r="I102" s="3" t="n">
        <v>0.764</v>
      </c>
      <c r="J102" s="4" t="inlineStr">
        <is>
          <t>Hb,O3b</t>
        </is>
      </c>
      <c r="K102" s="5" t="inlineStr">
        <is>
          <t>B (sky)</t>
        </is>
      </c>
      <c r="L102" s="3" t="n">
        <v>0.763</v>
      </c>
      <c r="M102" s="4" t="inlineStr">
        <is>
          <t>Hb</t>
        </is>
      </c>
      <c r="N102" s="6" t="n"/>
      <c r="P102" t="n">
        <v>42.020952</v>
      </c>
      <c r="Q102" t="n">
        <v>-3.4394502</v>
      </c>
      <c r="R102" t="n">
        <v>9.983000000000001</v>
      </c>
      <c r="S102" t="n">
        <v>0.07099999999999999</v>
      </c>
      <c r="T102" t="n">
        <v>-0.03172806365817159</v>
      </c>
      <c r="U102" t="n">
        <v>-0.0213</v>
      </c>
      <c r="V102" t="n">
        <v>-0.0191</v>
      </c>
      <c r="W102" t="n">
        <v>0.021</v>
      </c>
      <c r="X102" t="n">
        <v>0.1434445819319653</v>
      </c>
      <c r="Y102" t="n">
        <v>0.1336</v>
      </c>
      <c r="Z102" t="n">
        <v>0.0262</v>
      </c>
      <c r="AA102" t="n">
        <v>-0.0123</v>
      </c>
      <c r="AB102" t="n">
        <v>2.310884308803584</v>
      </c>
      <c r="AC102" t="n">
        <v>2.2899</v>
      </c>
      <c r="AD102" t="n">
        <v>-0.0418</v>
      </c>
      <c r="AE102" t="n">
        <v>0.0394</v>
      </c>
      <c r="AF102" t="n">
        <v>133.15319847288</v>
      </c>
      <c r="AG102" t="n">
        <v>140.7028</v>
      </c>
      <c r="AH102" t="n">
        <v>-13.553</v>
      </c>
      <c r="AI102" t="n">
        <v>15.6416</v>
      </c>
      <c r="AJ102" t="n">
        <v>0.6062910203131576</v>
      </c>
      <c r="AK102" t="n">
        <v>0.611</v>
      </c>
      <c r="AL102" t="n">
        <v>-0.0234</v>
      </c>
      <c r="AM102" t="n">
        <v>0.0364</v>
      </c>
      <c r="AN102" t="n">
        <v>0.8669869249507216</v>
      </c>
      <c r="AO102" t="n">
        <v>0.8593</v>
      </c>
      <c r="AP102" t="n">
        <v>-0.0248</v>
      </c>
      <c r="AQ102" t="n">
        <v>0.0196</v>
      </c>
      <c r="AR102" t="n">
        <v>4.857118823224777</v>
      </c>
      <c r="AS102" t="n">
        <v>4.8574</v>
      </c>
      <c r="AT102" t="n">
        <v>-0.0055</v>
      </c>
      <c r="AU102" t="n">
        <v>0.0053</v>
      </c>
      <c r="AV102" t="n">
        <v>0.2991696438291456</v>
      </c>
      <c r="AW102" t="n">
        <v>0.2995</v>
      </c>
      <c r="AX102" t="n">
        <v>-0.0114</v>
      </c>
      <c r="AY102" t="n">
        <v>0.011</v>
      </c>
      <c r="AZ102" t="n">
        <v>0.07067177720754203</v>
      </c>
      <c r="BA102" t="n">
        <v>0.0677</v>
      </c>
      <c r="BB102" t="n">
        <v>-0.0107</v>
      </c>
      <c r="BC102" t="n">
        <v>0.0112</v>
      </c>
      <c r="BD102" t="n">
        <v>0.6861395847481953</v>
      </c>
      <c r="BE102" t="n">
        <v>0.7739</v>
      </c>
      <c r="BF102" t="n">
        <v>-0.1659</v>
      </c>
      <c r="BG102" t="n">
        <v>0.1941</v>
      </c>
    </row>
    <row r="103" ht="27" customHeight="1" s="9">
      <c r="A103" s="3" t="n">
        <v>101</v>
      </c>
      <c r="B103" s="10">
        <f>IFERROR(AVERAGE(F103,L103,I103),"")</f>
        <v/>
      </c>
      <c r="C103" s="11" t="n">
        <v>3</v>
      </c>
      <c r="D103" s="11" t="inlineStr">
        <is>
          <t>B</t>
        </is>
      </c>
      <c r="E103" s="5" t="inlineStr">
        <is>
          <t>B (sky)</t>
        </is>
      </c>
      <c r="F103" s="3" t="n">
        <v>0.604</v>
      </c>
      <c r="G103" s="4" t="inlineStr">
        <is>
          <t>Hb,O3b</t>
        </is>
      </c>
      <c r="H103" s="5" t="inlineStr">
        <is>
          <t>B (sky)</t>
        </is>
      </c>
      <c r="I103" s="3" t="n">
        <v>0.604</v>
      </c>
      <c r="J103" s="4" t="inlineStr">
        <is>
          <t>Hb,O3b</t>
        </is>
      </c>
      <c r="K103" s="5" t="inlineStr">
        <is>
          <t>F (ns)</t>
        </is>
      </c>
      <c r="N103" s="6" t="n"/>
      <c r="P103" t="n">
        <v>41.992792</v>
      </c>
      <c r="Q103" t="n">
        <v>-3.4305084</v>
      </c>
      <c r="R103" t="n">
        <v>9.640000000000001</v>
      </c>
      <c r="S103" t="n">
        <v>0.089</v>
      </c>
      <c r="T103" t="n">
        <v>-0.005530449124042436</v>
      </c>
      <c r="U103" t="n">
        <v>0.0693</v>
      </c>
      <c r="V103" t="n">
        <v>-0.0418</v>
      </c>
      <c r="W103" t="n">
        <v>0.0428</v>
      </c>
      <c r="X103" t="n">
        <v>-0.1378569810697333</v>
      </c>
      <c r="Y103" t="n">
        <v>-0.1148</v>
      </c>
      <c r="Z103" t="n">
        <v>0.0253</v>
      </c>
      <c r="AA103" t="n">
        <v>-0.043</v>
      </c>
      <c r="AB103" t="n">
        <v>-1.087071059988201</v>
      </c>
      <c r="AC103" t="n">
        <v>-1.1638</v>
      </c>
      <c r="AD103" t="n">
        <v>-0.0526</v>
      </c>
      <c r="AE103" t="n">
        <v>0.0536</v>
      </c>
      <c r="AF103" t="n">
        <v>197.238209587741</v>
      </c>
      <c r="AG103" t="n">
        <v>153.5426</v>
      </c>
      <c r="AH103" t="n">
        <v>-14.7427</v>
      </c>
      <c r="AI103" t="n">
        <v>14.9611</v>
      </c>
      <c r="AJ103" t="n">
        <v>0.5506580301385664</v>
      </c>
      <c r="AK103" t="n">
        <v>0.4589</v>
      </c>
      <c r="AL103" t="n">
        <v>-0.0462</v>
      </c>
      <c r="AM103" t="n">
        <v>0.0448</v>
      </c>
      <c r="AN103" t="n">
        <v>0.5579815773396037</v>
      </c>
      <c r="AO103" t="n">
        <v>0.6077</v>
      </c>
      <c r="AP103" t="n">
        <v>-0.0264</v>
      </c>
      <c r="AQ103" t="n">
        <v>0.0293</v>
      </c>
      <c r="AR103" t="n">
        <v>4.598108531471558</v>
      </c>
      <c r="AS103" t="n">
        <v>4.6022</v>
      </c>
      <c r="AT103" t="n">
        <v>-0.0052</v>
      </c>
      <c r="AU103" t="n">
        <v>0.0051</v>
      </c>
      <c r="AV103" t="n">
        <v>-0.4516766309678566</v>
      </c>
      <c r="AW103" t="n">
        <v>-0.4505</v>
      </c>
      <c r="AX103" t="n">
        <v>-0.0143</v>
      </c>
      <c r="AY103" t="n">
        <v>0.0143</v>
      </c>
      <c r="AZ103" t="n">
        <v>-0.102857267819185</v>
      </c>
      <c r="BA103" t="n">
        <v>-0.07290000000000001</v>
      </c>
      <c r="BB103" t="n">
        <v>-0.016</v>
      </c>
      <c r="BC103" t="n">
        <v>0.0135</v>
      </c>
      <c r="BD103" t="n">
        <v>0.9162646463186001</v>
      </c>
      <c r="BE103" t="n">
        <v>0.7912</v>
      </c>
      <c r="BF103" t="n">
        <v>-0.1931</v>
      </c>
      <c r="BG103" t="n">
        <v>0.2161</v>
      </c>
    </row>
    <row r="104" ht="27" customHeight="1" s="9">
      <c r="A104" s="3" t="n">
        <v>102</v>
      </c>
      <c r="B104" s="10">
        <f>IFERROR(AVERAGE(F104,L104,I104),"")</f>
        <v/>
      </c>
      <c r="C104" s="11" t="n">
        <v>3</v>
      </c>
      <c r="D104" s="11" t="inlineStr">
        <is>
          <t>A</t>
        </is>
      </c>
      <c r="E104" s="5" t="inlineStr">
        <is>
          <t>B (sky)</t>
        </is>
      </c>
      <c r="F104" s="3" t="n">
        <v>0.466</v>
      </c>
      <c r="G104" s="4" t="inlineStr">
        <is>
          <t>Hb,O3a,O3b</t>
        </is>
      </c>
      <c r="H104" s="5" t="inlineStr">
        <is>
          <t>A</t>
        </is>
      </c>
      <c r="I104" s="3" t="n">
        <v>0.466</v>
      </c>
      <c r="J104" s="4" t="inlineStr">
        <is>
          <t>Hb,O3a,O3b</t>
        </is>
      </c>
      <c r="K104" s="5" t="inlineStr">
        <is>
          <t>F (ns)</t>
        </is>
      </c>
      <c r="N104" s="6" t="n"/>
      <c r="P104" t="n">
        <v>41.967925</v>
      </c>
      <c r="Q104" t="n">
        <v>-3.42586</v>
      </c>
      <c r="R104" t="n">
        <v>8.522</v>
      </c>
      <c r="S104" t="n">
        <v>0.038</v>
      </c>
      <c r="T104" t="n">
        <v>-0.1452271648654823</v>
      </c>
      <c r="U104" t="n">
        <v>-0.1099</v>
      </c>
      <c r="V104" t="n">
        <v>0.0279</v>
      </c>
      <c r="W104" t="n">
        <v>-0.0401</v>
      </c>
      <c r="X104" t="n">
        <v>-0.009786922061307934</v>
      </c>
      <c r="Y104" t="n">
        <v>0.0398</v>
      </c>
      <c r="Z104" t="n">
        <v>-0.0499</v>
      </c>
      <c r="AA104" t="n">
        <v>0.0556</v>
      </c>
      <c r="AB104" t="n">
        <v>2.723038257890138</v>
      </c>
      <c r="AC104" t="n">
        <v>2.5226</v>
      </c>
      <c r="AD104" t="n">
        <v>-0.1241</v>
      </c>
      <c r="AE104" t="n">
        <v>0.122</v>
      </c>
      <c r="AF104" t="n">
        <v>52.53235679919197</v>
      </c>
      <c r="AG104" t="n">
        <v>54.8756</v>
      </c>
      <c r="AH104" t="n">
        <v>-6.6842</v>
      </c>
      <c r="AI104" t="n">
        <v>7.8455</v>
      </c>
      <c r="AJ104" t="n">
        <v>0.7576917192177811</v>
      </c>
      <c r="AK104" t="n">
        <v>0.7241</v>
      </c>
      <c r="AL104" t="n">
        <v>-0.07630000000000001</v>
      </c>
      <c r="AM104" t="n">
        <v>0.06859999999999999</v>
      </c>
      <c r="AN104" t="n">
        <v>0.2022186509243618</v>
      </c>
      <c r="AO104" t="n">
        <v>0.2068</v>
      </c>
      <c r="AP104" t="n">
        <v>-0.0052</v>
      </c>
      <c r="AQ104" t="n">
        <v>0.0102</v>
      </c>
      <c r="AR104" t="n">
        <v>4.291718968134275</v>
      </c>
      <c r="AS104" t="n">
        <v>4.2945</v>
      </c>
      <c r="AT104" t="n">
        <v>-0.0054</v>
      </c>
      <c r="AU104" t="n">
        <v>0.0052</v>
      </c>
      <c r="AV104" t="n">
        <v>0.4611120688892942</v>
      </c>
      <c r="AW104" t="n">
        <v>0.555</v>
      </c>
      <c r="AX104" t="n">
        <v>-0.0689</v>
      </c>
      <c r="AY104" t="n">
        <v>0.0607</v>
      </c>
      <c r="AZ104" t="n">
        <v>0.4360703401799928</v>
      </c>
      <c r="BA104" t="n">
        <v>0.3403</v>
      </c>
      <c r="BB104" t="n">
        <v>-0.0699</v>
      </c>
      <c r="BC104" t="n">
        <v>0.07480000000000001</v>
      </c>
      <c r="BD104" t="n">
        <v>3.536075602583546</v>
      </c>
      <c r="BE104" t="n">
        <v>2.9818</v>
      </c>
      <c r="BF104" t="n">
        <v>-0.9439</v>
      </c>
      <c r="BG104" t="n">
        <v>0.6973</v>
      </c>
    </row>
    <row r="105" ht="27" customHeight="1" s="9">
      <c r="A105" s="3" t="n">
        <v>103</v>
      </c>
      <c r="B105" s="10">
        <f>IFERROR(AVERAGE(F105,L105,I105),"")</f>
        <v/>
      </c>
      <c r="C105" s="11" t="n"/>
      <c r="D105" s="11" t="inlineStr">
        <is>
          <t>E</t>
        </is>
      </c>
      <c r="E105" s="5" t="inlineStr">
        <is>
          <t>E (fc)</t>
        </is>
      </c>
      <c r="H105" s="5" t="inlineStr">
        <is>
          <t>E (fc)</t>
        </is>
      </c>
      <c r="I105" s="3" t="n"/>
      <c r="K105" s="5" t="inlineStr">
        <is>
          <t>E (fc)</t>
        </is>
      </c>
      <c r="N105" s="6" t="n"/>
      <c r="P105" t="n">
        <v>41.972965</v>
      </c>
      <c r="Q105" t="n">
        <v>-3.4321084</v>
      </c>
    </row>
    <row r="106" ht="27" customHeight="1" s="9">
      <c r="A106" s="3" t="n">
        <v>104</v>
      </c>
      <c r="B106" s="10">
        <f>IFERROR(AVERAGE(F106,L106,I106),"")</f>
        <v/>
      </c>
      <c r="C106" s="11" t="n"/>
      <c r="D106" s="11" t="inlineStr">
        <is>
          <t>D</t>
        </is>
      </c>
      <c r="E106" s="5" t="inlineStr">
        <is>
          <t>D (gc)</t>
        </is>
      </c>
      <c r="H106" s="5" t="inlineStr">
        <is>
          <t>D (gc)</t>
        </is>
      </c>
      <c r="I106" s="3" t="n"/>
      <c r="K106" s="5" t="inlineStr">
        <is>
          <t>D (gc)</t>
        </is>
      </c>
      <c r="N106" s="6" t="n"/>
      <c r="P106" t="n">
        <v>41.961209</v>
      </c>
      <c r="Q106" t="n">
        <v>-3.431136</v>
      </c>
    </row>
    <row r="107" ht="27" customHeight="1" s="9">
      <c r="A107" s="3" t="n">
        <v>105</v>
      </c>
      <c r="B107" s="10">
        <f>IFERROR(AVERAGE(F107,L107,I107),"")</f>
        <v/>
      </c>
      <c r="C107" s="11" t="n">
        <v>3</v>
      </c>
      <c r="D107" s="11" t="inlineStr">
        <is>
          <t>A</t>
        </is>
      </c>
      <c r="E107" s="5" t="inlineStr">
        <is>
          <t>A</t>
        </is>
      </c>
      <c r="F107" s="3" t="n">
        <v>0.5669999999999999</v>
      </c>
      <c r="G107" s="4" t="inlineStr">
        <is>
          <t>Hb,O3a,O3b</t>
        </is>
      </c>
      <c r="H107" s="5" t="inlineStr">
        <is>
          <t>A</t>
        </is>
      </c>
      <c r="I107" s="3" t="n">
        <v>0.5669999999999999</v>
      </c>
      <c r="J107" s="4" t="inlineStr">
        <is>
          <t>Hb,O3a,O3b</t>
        </is>
      </c>
      <c r="K107" s="5" t="inlineStr">
        <is>
          <t>B (sky)</t>
        </is>
      </c>
      <c r="L107" s="3" t="n">
        <v>0.5669999999999999</v>
      </c>
      <c r="M107" s="4" t="inlineStr">
        <is>
          <t>O3b</t>
        </is>
      </c>
      <c r="N107" s="6" t="n"/>
      <c r="P107" t="n">
        <v>41.956463</v>
      </c>
      <c r="Q107" t="n">
        <v>-3.4322077</v>
      </c>
      <c r="R107" t="n">
        <v>9.198</v>
      </c>
      <c r="S107" t="n">
        <v>0.119</v>
      </c>
      <c r="T107" t="n">
        <v>-0.1397273365173214</v>
      </c>
      <c r="U107" t="n">
        <v>-0.1284</v>
      </c>
      <c r="V107" t="n">
        <v>0.0155</v>
      </c>
      <c r="W107" t="n">
        <v>-0.027</v>
      </c>
      <c r="X107" t="n">
        <v>0.06585006297528578</v>
      </c>
      <c r="Y107" t="n">
        <v>0.0987</v>
      </c>
      <c r="Z107" t="n">
        <v>-0.0309</v>
      </c>
      <c r="AA107" t="n">
        <v>0.0303</v>
      </c>
      <c r="AB107" t="n">
        <v>-2.732191253106631</v>
      </c>
      <c r="AC107" t="n">
        <v>-2.7457</v>
      </c>
      <c r="AD107" t="n">
        <v>-0.0252</v>
      </c>
      <c r="AE107" t="n">
        <v>0.0256</v>
      </c>
      <c r="AF107" t="n">
        <v>141.764406560915</v>
      </c>
      <c r="AG107" t="n">
        <v>125.4346</v>
      </c>
      <c r="AH107" t="n">
        <v>-9.085599999999999</v>
      </c>
      <c r="AI107" t="n">
        <v>9.559200000000001</v>
      </c>
      <c r="AJ107" t="n">
        <v>0.4647634559482422</v>
      </c>
      <c r="AK107" t="n">
        <v>0.5083</v>
      </c>
      <c r="AL107" t="n">
        <v>-0.0363</v>
      </c>
      <c r="AM107" t="n">
        <v>0.0438</v>
      </c>
      <c r="AN107" t="n">
        <v>0.8110994378774969</v>
      </c>
      <c r="AO107" t="n">
        <v>0.7753</v>
      </c>
      <c r="AP107" t="n">
        <v>-0.0307</v>
      </c>
      <c r="AQ107" t="n">
        <v>0.0296</v>
      </c>
      <c r="AR107" t="n">
        <v>4.523730417843224</v>
      </c>
      <c r="AS107" t="n">
        <v>4.5229</v>
      </c>
      <c r="AT107" t="n">
        <v>-0.0071</v>
      </c>
      <c r="AU107" t="n">
        <v>0.0071</v>
      </c>
      <c r="AV107" t="n">
        <v>-0.06855999049062489</v>
      </c>
      <c r="AW107" t="n">
        <v>-0.0606</v>
      </c>
      <c r="AX107" t="n">
        <v>-0.0134</v>
      </c>
      <c r="AY107" t="n">
        <v>0.0138</v>
      </c>
      <c r="AZ107" t="n">
        <v>0.1075078394579192</v>
      </c>
      <c r="BA107" t="n">
        <v>0.1165</v>
      </c>
      <c r="BB107" t="n">
        <v>-0.0111</v>
      </c>
      <c r="BC107" t="n">
        <v>0.0122</v>
      </c>
      <c r="BD107" t="n">
        <v>0.835256726787534</v>
      </c>
      <c r="BE107" t="n">
        <v>0.6579</v>
      </c>
      <c r="BF107" t="n">
        <v>-0.1116</v>
      </c>
      <c r="BG107" t="n">
        <v>0.1228</v>
      </c>
    </row>
    <row r="108" ht="27" customHeight="1" s="9">
      <c r="A108" s="3" t="n">
        <v>106</v>
      </c>
      <c r="B108" s="10">
        <f>IFERROR(AVERAGE(F108,L108,I108),"")</f>
        <v/>
      </c>
      <c r="C108" s="11" t="n">
        <v>3</v>
      </c>
      <c r="D108" s="11" t="inlineStr">
        <is>
          <t>B</t>
        </is>
      </c>
      <c r="E108" s="5" t="inlineStr">
        <is>
          <t>B (sky)</t>
        </is>
      </c>
      <c r="F108" s="3" t="n">
        <v>0.7635</v>
      </c>
      <c r="G108" s="4" t="inlineStr">
        <is>
          <t>Hb,O3b</t>
        </is>
      </c>
      <c r="H108" s="5" t="inlineStr">
        <is>
          <t>B (sky)</t>
        </is>
      </c>
      <c r="I108" s="3" t="n">
        <v>0.763</v>
      </c>
      <c r="J108" s="4" t="inlineStr">
        <is>
          <t>Hb,O3b</t>
        </is>
      </c>
      <c r="K108" s="5" t="inlineStr">
        <is>
          <t>B (sky)</t>
        </is>
      </c>
      <c r="L108" s="3" t="n">
        <v>0.763</v>
      </c>
      <c r="M108" s="4" t="inlineStr">
        <is>
          <t>Hb,O3a</t>
        </is>
      </c>
      <c r="N108" s="6" t="n"/>
      <c r="P108" t="n">
        <v>41.972777</v>
      </c>
      <c r="Q108" t="n">
        <v>-3.4457256</v>
      </c>
    </row>
    <row r="109" ht="27" customHeight="1" s="9">
      <c r="A109" s="3" t="n">
        <v>107</v>
      </c>
      <c r="B109" s="10">
        <f>IFERROR(AVERAGE(F109,L109,I109),"")</f>
        <v/>
      </c>
      <c r="C109" s="11" t="n">
        <v>3</v>
      </c>
      <c r="D109" s="11" t="inlineStr">
        <is>
          <t>A</t>
        </is>
      </c>
      <c r="E109" s="5" t="inlineStr">
        <is>
          <t>A</t>
        </is>
      </c>
      <c r="F109" s="3" t="n">
        <v>0.5435</v>
      </c>
      <c r="G109" s="4" t="inlineStr">
        <is>
          <t>Hb,O3b</t>
        </is>
      </c>
      <c r="H109" s="5" t="inlineStr">
        <is>
          <t>A</t>
        </is>
      </c>
      <c r="I109" s="3" t="n">
        <v>0.543</v>
      </c>
      <c r="J109" s="4" t="inlineStr">
        <is>
          <t>Hb,O3b</t>
        </is>
      </c>
      <c r="K109" s="5" t="inlineStr">
        <is>
          <t>A</t>
        </is>
      </c>
      <c r="L109" s="3" t="n">
        <v>0.544</v>
      </c>
      <c r="M109" s="4" t="inlineStr">
        <is>
          <t>Hb,O3a,O3b</t>
        </is>
      </c>
      <c r="N109" s="6" t="n"/>
      <c r="P109" t="n">
        <v>41.966831</v>
      </c>
      <c r="Q109" t="n">
        <v>-3.4460413</v>
      </c>
      <c r="R109" t="n">
        <v>10.029</v>
      </c>
      <c r="S109" t="n">
        <v>0.061</v>
      </c>
      <c r="T109" t="n">
        <v>-0.05598579269494201</v>
      </c>
      <c r="U109" t="n">
        <v>-0.0437</v>
      </c>
      <c r="V109" t="n">
        <v>-0.0189</v>
      </c>
      <c r="W109" t="n">
        <v>0.0207</v>
      </c>
      <c r="X109" t="n">
        <v>0.09304887053880856</v>
      </c>
      <c r="Y109" t="n">
        <v>0.1031</v>
      </c>
      <c r="Z109" t="n">
        <v>0.0431</v>
      </c>
      <c r="AA109" t="n">
        <v>-0.0331</v>
      </c>
      <c r="AB109" t="n">
        <v>-0.5790750107356355</v>
      </c>
      <c r="AC109" t="n">
        <v>-0.5782</v>
      </c>
      <c r="AD109" t="n">
        <v>-0.0146</v>
      </c>
      <c r="AE109" t="n">
        <v>0.0143</v>
      </c>
      <c r="AF109" t="n">
        <v>165.4773064347008</v>
      </c>
      <c r="AG109" t="n">
        <v>153.8516</v>
      </c>
      <c r="AH109" t="n">
        <v>-11.642</v>
      </c>
      <c r="AI109" t="n">
        <v>11.1238</v>
      </c>
      <c r="AJ109" t="n">
        <v>0.6350495804780301</v>
      </c>
      <c r="AK109" t="n">
        <v>0.6315</v>
      </c>
      <c r="AL109" t="n">
        <v>-0.0489</v>
      </c>
      <c r="AM109" t="n">
        <v>0.06909999999999999</v>
      </c>
      <c r="AN109" t="n">
        <v>1.101026635386215</v>
      </c>
      <c r="AO109" t="n">
        <v>1.0979</v>
      </c>
      <c r="AP109" t="n">
        <v>-0.0534</v>
      </c>
      <c r="AQ109" t="n">
        <v>0.0454</v>
      </c>
      <c r="AR109" t="n">
        <v>5.158252055633808</v>
      </c>
      <c r="AS109" t="n">
        <v>5.1532</v>
      </c>
      <c r="AT109" t="n">
        <v>-0.0078</v>
      </c>
      <c r="AU109" t="n">
        <v>0.0083</v>
      </c>
      <c r="AV109" t="n">
        <v>-0.1869888170030984</v>
      </c>
      <c r="AW109" t="n">
        <v>-0.1962</v>
      </c>
      <c r="AX109" t="n">
        <v>-0.0129</v>
      </c>
      <c r="AY109" t="n">
        <v>0.0128</v>
      </c>
      <c r="AZ109" t="n">
        <v>-0.05213720632399066</v>
      </c>
      <c r="BA109" t="n">
        <v>-0.0569</v>
      </c>
      <c r="BB109" t="n">
        <v>-0.0105</v>
      </c>
      <c r="BC109" t="n">
        <v>0.01</v>
      </c>
      <c r="BD109" t="n">
        <v>1.513442847285937</v>
      </c>
      <c r="BE109" t="n">
        <v>1.3304</v>
      </c>
      <c r="BF109" t="n">
        <v>-0.167</v>
      </c>
      <c r="BG109" t="n">
        <v>0.1774</v>
      </c>
    </row>
    <row r="110" ht="27" customHeight="1" s="9">
      <c r="A110" s="3" t="n">
        <v>108</v>
      </c>
      <c r="B110" s="10">
        <f>IFERROR(AVERAGE(F110,L110,I110),"")</f>
        <v/>
      </c>
      <c r="C110" s="11" t="n">
        <v>3</v>
      </c>
      <c r="D110" s="11" t="inlineStr">
        <is>
          <t>A</t>
        </is>
      </c>
      <c r="E110" s="5" t="inlineStr">
        <is>
          <t>A</t>
        </is>
      </c>
      <c r="F110" s="3" t="n">
        <v>0.6525</v>
      </c>
      <c r="G110" s="4" t="inlineStr">
        <is>
          <t>O3a,O3b</t>
        </is>
      </c>
      <c r="H110" s="5" t="inlineStr">
        <is>
          <t>A</t>
        </is>
      </c>
      <c r="I110" s="3" t="n">
        <v>0.652</v>
      </c>
      <c r="J110" s="4" t="inlineStr">
        <is>
          <t>Hb,O3a,O3b</t>
        </is>
      </c>
      <c r="K110" s="5" t="inlineStr">
        <is>
          <t>F (ns)</t>
        </is>
      </c>
      <c r="N110" s="6" t="n"/>
      <c r="P110" t="n">
        <v>41.92391</v>
      </c>
      <c r="Q110" t="n">
        <v>-3.4294556</v>
      </c>
      <c r="R110" t="n">
        <v>9.304</v>
      </c>
      <c r="S110" t="n">
        <v>0.098</v>
      </c>
      <c r="T110" t="n">
        <v>0.09748906378247649</v>
      </c>
      <c r="U110" t="n">
        <v>-0.08019999999999999</v>
      </c>
      <c r="V110" t="n">
        <v>0.0532</v>
      </c>
      <c r="W110" t="n">
        <v>-0.114</v>
      </c>
      <c r="X110" t="n">
        <v>-0.05622478289006506</v>
      </c>
      <c r="Y110" t="n">
        <v>-0.0709</v>
      </c>
      <c r="Z110" t="n">
        <v>-0.0349</v>
      </c>
      <c r="AA110" t="n">
        <v>0.034</v>
      </c>
      <c r="AB110" t="n">
        <v>1.589166728126653</v>
      </c>
      <c r="AC110" t="n">
        <v>1.5749</v>
      </c>
      <c r="AD110" t="n">
        <v>-0.0682</v>
      </c>
      <c r="AE110" t="n">
        <v>0.0663</v>
      </c>
      <c r="AF110" t="n">
        <v>60.87285150807571</v>
      </c>
      <c r="AG110" t="n">
        <v>72.86490000000001</v>
      </c>
      <c r="AH110" t="n">
        <v>-7.5357</v>
      </c>
      <c r="AI110" t="n">
        <v>9.4154</v>
      </c>
      <c r="AJ110" t="n">
        <v>0.3889767332152049</v>
      </c>
      <c r="AK110" t="n">
        <v>0.5600000000000001</v>
      </c>
      <c r="AL110" t="n">
        <v>-0.1229</v>
      </c>
      <c r="AM110" t="n">
        <v>0.0716</v>
      </c>
      <c r="AN110" t="n">
        <v>0.7287427841437237</v>
      </c>
      <c r="AO110" t="n">
        <v>0.6147</v>
      </c>
      <c r="AP110" t="n">
        <v>-0.0342</v>
      </c>
      <c r="AQ110" t="n">
        <v>0.07489999999999999</v>
      </c>
      <c r="AR110" t="n">
        <v>4.429549667855959</v>
      </c>
      <c r="AS110" t="n">
        <v>4.4274</v>
      </c>
      <c r="AT110" t="n">
        <v>-0.0064</v>
      </c>
      <c r="AU110" t="n">
        <v>0.0065</v>
      </c>
      <c r="AV110" t="n">
        <v>0.3349806100085757</v>
      </c>
      <c r="AW110" t="n">
        <v>0.3374</v>
      </c>
      <c r="AX110" t="n">
        <v>-0.0157</v>
      </c>
      <c r="AY110" t="n">
        <v>0.0156</v>
      </c>
      <c r="AZ110" t="n">
        <v>0.04107305720758636</v>
      </c>
      <c r="BA110" t="n">
        <v>0.0581</v>
      </c>
      <c r="BB110" t="n">
        <v>-0.0172</v>
      </c>
      <c r="BC110" t="n">
        <v>0.0188</v>
      </c>
      <c r="BD110" t="n">
        <v>0.4250107239449347</v>
      </c>
      <c r="BE110" t="n">
        <v>0.4591</v>
      </c>
      <c r="BF110" t="n">
        <v>-0.1528</v>
      </c>
      <c r="BG110" t="n">
        <v>0.2056</v>
      </c>
    </row>
    <row r="111" ht="27" customHeight="1" s="9">
      <c r="A111" s="3" t="n">
        <v>109</v>
      </c>
      <c r="B111" s="10">
        <f>IFERROR(AVERAGE(F111,L111,I111),"")</f>
        <v/>
      </c>
      <c r="C111" s="11" t="n">
        <v>3</v>
      </c>
      <c r="D111" s="11" t="inlineStr">
        <is>
          <t>A</t>
        </is>
      </c>
      <c r="E111" s="5" t="inlineStr">
        <is>
          <t>A</t>
        </is>
      </c>
      <c r="F111" s="3" t="n">
        <v>0.464</v>
      </c>
      <c r="G111" s="4" t="inlineStr">
        <is>
          <t>O3a,O3b,Ha,N2a,N2b</t>
        </is>
      </c>
      <c r="H111" s="5" t="inlineStr">
        <is>
          <t>A</t>
        </is>
      </c>
      <c r="I111" s="3" t="n">
        <v>0.465</v>
      </c>
      <c r="J111" s="4" t="inlineStr">
        <is>
          <t>O3b,Ha,N2a,N2b</t>
        </is>
      </c>
      <c r="K111" s="5" t="inlineStr">
        <is>
          <t>A</t>
        </is>
      </c>
      <c r="L111" s="3" t="n">
        <v>0.464</v>
      </c>
      <c r="M111" s="4" t="inlineStr">
        <is>
          <t>O3b,Ha</t>
        </is>
      </c>
      <c r="N111" s="6" t="n"/>
      <c r="O111" s="4" t="inlineStr">
        <is>
          <t>N2a,O3a</t>
        </is>
      </c>
      <c r="P111" t="n">
        <v>41.97965</v>
      </c>
      <c r="Q111" t="n">
        <v>-3.4582016</v>
      </c>
      <c r="R111" t="n">
        <v>9.925000000000001</v>
      </c>
      <c r="S111" t="n">
        <v>0.053</v>
      </c>
    </row>
    <row r="112" ht="27" customHeight="1" s="9">
      <c r="A112" s="3" t="n">
        <v>110</v>
      </c>
      <c r="B112" s="10">
        <f>IFERROR(AVERAGE(F112,L112,I112),"")</f>
        <v/>
      </c>
      <c r="C112" s="11" t="n">
        <v>3</v>
      </c>
      <c r="D112" s="11" t="inlineStr">
        <is>
          <t>A</t>
        </is>
      </c>
      <c r="E112" s="5" t="inlineStr">
        <is>
          <t>A</t>
        </is>
      </c>
      <c r="F112" s="3" t="n">
        <v>0.522</v>
      </c>
      <c r="G112" s="4" t="inlineStr">
        <is>
          <t>Hb,O3a,O3b</t>
        </is>
      </c>
      <c r="H112" s="5" t="inlineStr">
        <is>
          <t>A</t>
        </is>
      </c>
      <c r="I112" s="3" t="n">
        <v>0.522</v>
      </c>
      <c r="J112" s="4" t="inlineStr">
        <is>
          <t>Hb,O3a,O3b</t>
        </is>
      </c>
      <c r="K112" s="5" t="inlineStr">
        <is>
          <t>A</t>
        </is>
      </c>
      <c r="L112" s="3" t="n">
        <v>0.522</v>
      </c>
      <c r="M112" s="4" t="inlineStr">
        <is>
          <t>O3a,O3b</t>
        </is>
      </c>
      <c r="N112" s="6" t="n"/>
      <c r="P112" t="n">
        <v>41.961648</v>
      </c>
      <c r="Q112" t="n">
        <v>-3.4581258</v>
      </c>
      <c r="R112" t="n">
        <v>9.563000000000001</v>
      </c>
      <c r="S112" t="n">
        <v>0.116</v>
      </c>
      <c r="T112" t="n">
        <v>0.110184991205627</v>
      </c>
      <c r="U112" t="n">
        <v>0.113</v>
      </c>
      <c r="V112" t="n">
        <v>0.0417</v>
      </c>
      <c r="W112" t="n">
        <v>-0.0264</v>
      </c>
      <c r="X112" t="n">
        <v>0.0498378410297024</v>
      </c>
      <c r="Y112" t="n">
        <v>0.0303</v>
      </c>
      <c r="Z112" t="n">
        <v>-0.0195</v>
      </c>
      <c r="AA112" t="n">
        <v>0.0212</v>
      </c>
      <c r="AB112" t="n">
        <v>1.635980056731292</v>
      </c>
      <c r="AC112" t="n">
        <v>1.616</v>
      </c>
      <c r="AD112" t="n">
        <v>-0.0529</v>
      </c>
      <c r="AE112" t="n">
        <v>0.0519</v>
      </c>
      <c r="AF112" t="n">
        <v>156.2367737738358</v>
      </c>
      <c r="AG112" t="n">
        <v>128.1599</v>
      </c>
      <c r="AH112" t="n">
        <v>-15.0366</v>
      </c>
      <c r="AI112" t="n">
        <v>15.1896</v>
      </c>
      <c r="AJ112" t="n">
        <v>0.6854745956077595</v>
      </c>
      <c r="AK112" t="n">
        <v>0.6975</v>
      </c>
      <c r="AL112" t="n">
        <v>-0.0421</v>
      </c>
      <c r="AM112" t="n">
        <v>0.0624</v>
      </c>
      <c r="AN112" t="n">
        <v>0.8532607982096225</v>
      </c>
      <c r="AO112" t="n">
        <v>0.8461</v>
      </c>
      <c r="AP112" t="n">
        <v>-0.0344</v>
      </c>
      <c r="AQ112" t="n">
        <v>0.0298</v>
      </c>
      <c r="AR112" t="n">
        <v>4.822798535341798</v>
      </c>
      <c r="AS112" t="n">
        <v>4.8218</v>
      </c>
      <c r="AT112" t="n">
        <v>-0.0073</v>
      </c>
      <c r="AU112" t="n">
        <v>0.0069</v>
      </c>
      <c r="AV112" t="n">
        <v>0.1461717725275107</v>
      </c>
      <c r="AW112" t="n">
        <v>0.1517</v>
      </c>
      <c r="AX112" t="n">
        <v>-0.0142</v>
      </c>
      <c r="AY112" t="n">
        <v>0.014</v>
      </c>
      <c r="AZ112" t="n">
        <v>0.107738951441875</v>
      </c>
      <c r="BA112" t="n">
        <v>0.1082</v>
      </c>
      <c r="BB112" t="n">
        <v>-0.0119</v>
      </c>
      <c r="BC112" t="n">
        <v>0.0136</v>
      </c>
      <c r="BD112" t="n">
        <v>1.745606787367121</v>
      </c>
      <c r="BE112" t="n">
        <v>1.2426</v>
      </c>
      <c r="BF112" t="n">
        <v>-0.2759</v>
      </c>
      <c r="BG112" t="n">
        <v>0.2841</v>
      </c>
    </row>
    <row r="113" ht="27" customHeight="1" s="9">
      <c r="A113" s="3" t="n">
        <v>111</v>
      </c>
      <c r="B113" s="10">
        <f>IFERROR(AVERAGE(F113,L113,I113),"")</f>
        <v/>
      </c>
      <c r="C113" s="11" t="n">
        <v>2</v>
      </c>
      <c r="D113" s="11" t="inlineStr">
        <is>
          <t>B</t>
        </is>
      </c>
      <c r="E113" s="5" t="inlineStr">
        <is>
          <t>B (sky)</t>
        </is>
      </c>
      <c r="F113" s="3" t="n">
        <v>0.8585</v>
      </c>
      <c r="G113" s="4" t="inlineStr">
        <is>
          <t>Hb</t>
        </is>
      </c>
      <c r="H113" s="5" t="inlineStr">
        <is>
          <t>B (sky)</t>
        </is>
      </c>
      <c r="I113" s="3" t="n">
        <v>0.859</v>
      </c>
      <c r="J113" s="4" t="inlineStr">
        <is>
          <t>Hb</t>
        </is>
      </c>
      <c r="K113" s="5" t="inlineStr">
        <is>
          <t>B (sky)</t>
        </is>
      </c>
      <c r="L113" s="3" t="n">
        <v>0.859</v>
      </c>
      <c r="M113" s="4" t="inlineStr">
        <is>
          <t>Hb</t>
        </is>
      </c>
      <c r="N113" s="6" t="n"/>
      <c r="O113" s="4" t="inlineStr">
        <is>
          <t>Hb</t>
        </is>
      </c>
      <c r="P113" t="n">
        <v>42.01803</v>
      </c>
      <c r="Q113" t="n">
        <v>-3.4875867</v>
      </c>
    </row>
    <row r="114" ht="27" customHeight="1" s="9">
      <c r="A114" s="3" t="n">
        <v>112</v>
      </c>
      <c r="B114" s="10">
        <f>IFERROR(AVERAGE(F114,L114,I114),"")</f>
        <v/>
      </c>
      <c r="C114" s="11" t="n">
        <v>3</v>
      </c>
      <c r="D114" s="11" t="inlineStr">
        <is>
          <t>A</t>
        </is>
      </c>
      <c r="E114" s="5" t="inlineStr">
        <is>
          <t>A</t>
        </is>
      </c>
      <c r="F114" s="3" t="n">
        <v>0.8235</v>
      </c>
      <c r="G114" s="4" t="inlineStr">
        <is>
          <t>O2,O3b</t>
        </is>
      </c>
      <c r="H114" s="5" t="inlineStr">
        <is>
          <t>A</t>
        </is>
      </c>
      <c r="I114" s="3" t="n">
        <v>0.823</v>
      </c>
      <c r="J114" s="4" t="inlineStr">
        <is>
          <t>O2,Hb,O3b</t>
        </is>
      </c>
      <c r="K114" s="5" t="inlineStr">
        <is>
          <t>A</t>
        </is>
      </c>
      <c r="L114" s="3" t="n">
        <v>0.8225</v>
      </c>
      <c r="M114" s="4" t="inlineStr">
        <is>
          <t>O2,Hb,O3b</t>
        </is>
      </c>
      <c r="N114" s="6" t="n"/>
      <c r="O114" s="4" t="inlineStr">
        <is>
          <t>Hb</t>
        </is>
      </c>
      <c r="P114" t="n">
        <v>41.928584</v>
      </c>
      <c r="Q114" t="n">
        <v>-3.4509424</v>
      </c>
      <c r="R114" t="n">
        <v>9.936999999999999</v>
      </c>
      <c r="S114" t="n">
        <v>0.041</v>
      </c>
    </row>
    <row r="115" ht="27" customHeight="1" s="9">
      <c r="A115" s="3" t="n">
        <v>113</v>
      </c>
      <c r="B115" s="10">
        <f>IFERROR(AVERAGE(F115,L115,I115),"")</f>
        <v/>
      </c>
      <c r="C115" s="11" t="n">
        <v>3</v>
      </c>
      <c r="D115" s="11" t="inlineStr">
        <is>
          <t>A</t>
        </is>
      </c>
      <c r="E115" s="5" t="inlineStr">
        <is>
          <t>B (sky)</t>
        </is>
      </c>
      <c r="F115" s="3" t="n">
        <v>0.824</v>
      </c>
      <c r="G115" s="4" t="inlineStr">
        <is>
          <t>O2</t>
        </is>
      </c>
      <c r="H115" s="5" t="inlineStr">
        <is>
          <t>A</t>
        </is>
      </c>
      <c r="I115" s="3" t="n">
        <v>0.824</v>
      </c>
      <c r="J115" s="4" t="inlineStr">
        <is>
          <t>O2</t>
        </is>
      </c>
      <c r="K115" s="5" t="inlineStr">
        <is>
          <t>A</t>
        </is>
      </c>
      <c r="L115" s="3" t="n">
        <v>0.823</v>
      </c>
      <c r="M115" s="4" t="inlineStr">
        <is>
          <t>O2,Hb</t>
        </is>
      </c>
      <c r="N115" s="6" t="n"/>
      <c r="P115" t="n">
        <v>41.900727</v>
      </c>
      <c r="Q115" t="n">
        <v>-3.441635</v>
      </c>
      <c r="R115" t="n">
        <v>9.904999999999999</v>
      </c>
      <c r="S115" t="n">
        <v>0.11</v>
      </c>
      <c r="T115" t="n">
        <v>-0.08653277870045532</v>
      </c>
      <c r="U115" t="n">
        <v>-0.091</v>
      </c>
      <c r="V115" t="n">
        <v>-0.0276</v>
      </c>
      <c r="W115" t="n">
        <v>0.0285</v>
      </c>
      <c r="X115" t="n">
        <v>-0.1482524843319679</v>
      </c>
      <c r="Y115" t="n">
        <v>-0.0963</v>
      </c>
      <c r="Z115" t="n">
        <v>0.0377</v>
      </c>
      <c r="AA115" t="n">
        <v>-0.0565</v>
      </c>
      <c r="AB115" t="n">
        <v>2.402254562776887</v>
      </c>
      <c r="AC115" t="n">
        <v>2.4107</v>
      </c>
      <c r="AD115" t="n">
        <v>-0.0419</v>
      </c>
      <c r="AE115" t="n">
        <v>0.0395</v>
      </c>
      <c r="AF115" t="n">
        <v>280.4882728972101</v>
      </c>
      <c r="AG115" t="n">
        <v>204.2943</v>
      </c>
      <c r="AH115" t="n">
        <v>-18.6622</v>
      </c>
      <c r="AI115" t="n">
        <v>17.911</v>
      </c>
      <c r="AJ115" t="n">
        <v>0.4593728057954984</v>
      </c>
      <c r="AK115" t="n">
        <v>0.4136</v>
      </c>
      <c r="AL115" t="n">
        <v>-0.0507</v>
      </c>
      <c r="AM115" t="n">
        <v>0.0414</v>
      </c>
      <c r="AN115" t="n">
        <v>1.508714179732307</v>
      </c>
      <c r="AO115" t="n">
        <v>1.6049</v>
      </c>
      <c r="AP115" t="n">
        <v>-0.08359999999999999</v>
      </c>
      <c r="AQ115" t="n">
        <v>0.0998</v>
      </c>
      <c r="AR115" t="n">
        <v>4.922351172884481</v>
      </c>
      <c r="AS115" t="n">
        <v>4.9232</v>
      </c>
      <c r="AT115" t="n">
        <v>-0.0138</v>
      </c>
      <c r="AU115" t="n">
        <v>0.0135</v>
      </c>
      <c r="AV115" t="n">
        <v>-0.01089590168874954</v>
      </c>
      <c r="AW115" t="n">
        <v>-0.0126</v>
      </c>
      <c r="AX115" t="n">
        <v>-0.0155</v>
      </c>
      <c r="AY115" t="n">
        <v>0.0163</v>
      </c>
      <c r="AZ115" t="n">
        <v>0.01852906005497768</v>
      </c>
      <c r="BA115" t="n">
        <v>0.0032</v>
      </c>
      <c r="BB115" t="n">
        <v>-0.0076</v>
      </c>
      <c r="BC115" t="n">
        <v>0.0075</v>
      </c>
      <c r="BD115" t="n">
        <v>0.7856133733515309</v>
      </c>
      <c r="BE115" t="n">
        <v>0.4846</v>
      </c>
      <c r="BF115" t="n">
        <v>-0.1247</v>
      </c>
      <c r="BG115" t="n">
        <v>0.1263</v>
      </c>
    </row>
    <row r="116" ht="27" customHeight="1" s="9">
      <c r="A116" s="3" t="n">
        <v>114</v>
      </c>
      <c r="B116" s="10">
        <f>IFERROR(AVERAGE(F116,L116,I116),"")</f>
        <v/>
      </c>
      <c r="C116" s="11" t="n">
        <v>3</v>
      </c>
      <c r="D116" s="11" t="inlineStr">
        <is>
          <t>B</t>
        </is>
      </c>
      <c r="E116" s="5" t="inlineStr">
        <is>
          <t>A</t>
        </is>
      </c>
      <c r="F116" s="3" t="n">
        <v>1.1535</v>
      </c>
      <c r="G116" s="4" t="inlineStr">
        <is>
          <t>O2</t>
        </is>
      </c>
      <c r="H116" s="5" t="inlineStr">
        <is>
          <t>B (sky)</t>
        </is>
      </c>
      <c r="I116" s="3" t="n">
        <v>1.154</v>
      </c>
      <c r="J116" s="4" t="inlineStr">
        <is>
          <t>O2</t>
        </is>
      </c>
      <c r="K116" s="5" t="inlineStr">
        <is>
          <t>E (fc)</t>
        </is>
      </c>
      <c r="N116" s="6" t="inlineStr">
        <is>
          <t>More than one target in this slit, other z=1.003 ([O II]; 2)</t>
        </is>
      </c>
      <c r="O116" s="4" t="inlineStr">
        <is>
          <t>O2</t>
        </is>
      </c>
      <c r="P116" t="n">
        <v>42.010955</v>
      </c>
      <c r="Q116" t="n">
        <v>-3.4955474</v>
      </c>
    </row>
    <row r="117" ht="27" customHeight="1" s="9">
      <c r="A117" s="3" t="n">
        <v>115</v>
      </c>
      <c r="B117" s="10">
        <f>IFERROR(AVERAGE(F117,L117,I117),"")</f>
        <v/>
      </c>
      <c r="C117" s="11" t="n">
        <v>3</v>
      </c>
      <c r="D117" s="11" t="inlineStr">
        <is>
          <t>A</t>
        </is>
      </c>
      <c r="E117" s="5" t="inlineStr">
        <is>
          <t>A</t>
        </is>
      </c>
      <c r="F117" s="3" t="n">
        <v>0.4655</v>
      </c>
      <c r="G117" s="4" t="inlineStr">
        <is>
          <t>Hb,O3b</t>
        </is>
      </c>
      <c r="H117" s="5" t="inlineStr">
        <is>
          <t>B (sky)</t>
        </is>
      </c>
      <c r="I117" s="3" t="n">
        <v>0.4655</v>
      </c>
      <c r="J117" s="4" t="inlineStr">
        <is>
          <t>Hb,O3b</t>
        </is>
      </c>
      <c r="K117" s="5" t="inlineStr">
        <is>
          <t>B (sky)</t>
        </is>
      </c>
      <c r="L117" s="3" t="n">
        <v>0.4655</v>
      </c>
      <c r="M117" s="4" t="inlineStr">
        <is>
          <t>Hb,O3b</t>
        </is>
      </c>
      <c r="N117" s="6" t="n"/>
      <c r="P117" t="n">
        <v>41.907448</v>
      </c>
      <c r="Q117" t="n">
        <v>-3.4508851</v>
      </c>
      <c r="R117" t="n">
        <v>10.097</v>
      </c>
      <c r="S117" t="n">
        <v>0.014</v>
      </c>
      <c r="T117" t="n">
        <v>-0.1363272826878371</v>
      </c>
      <c r="U117" t="n">
        <v>-0.1342</v>
      </c>
      <c r="V117" t="n">
        <v>0.0116</v>
      </c>
      <c r="W117" t="n">
        <v>-0.0209</v>
      </c>
      <c r="X117" t="n">
        <v>0.03846571894327327</v>
      </c>
      <c r="Y117" t="n">
        <v>0.0383</v>
      </c>
      <c r="Z117" t="n">
        <v>-0.0154</v>
      </c>
      <c r="AA117" t="n">
        <v>0.0154</v>
      </c>
      <c r="AB117" t="n">
        <v>-0.03707195888875381</v>
      </c>
      <c r="AC117" t="n">
        <v>-0.0272</v>
      </c>
      <c r="AD117" t="n">
        <v>-0.0296</v>
      </c>
      <c r="AE117" t="n">
        <v>0.0293</v>
      </c>
      <c r="AF117" t="n">
        <v>310.9907034474426</v>
      </c>
      <c r="AG117" t="n">
        <v>236.7626</v>
      </c>
      <c r="AH117" t="n">
        <v>-16.1085</v>
      </c>
      <c r="AI117" t="n">
        <v>15.3067</v>
      </c>
      <c r="AJ117" t="n">
        <v>0.6947216174057991</v>
      </c>
      <c r="AK117" t="n">
        <v>0.6879999999999999</v>
      </c>
      <c r="AL117" t="n">
        <v>-0.0288</v>
      </c>
      <c r="AM117" t="n">
        <v>0.0327</v>
      </c>
      <c r="AN117" t="n">
        <v>1.832846165982496</v>
      </c>
      <c r="AO117" t="n">
        <v>1.8459</v>
      </c>
      <c r="AP117" t="n">
        <v>-0.0552</v>
      </c>
      <c r="AQ117" t="n">
        <v>0.0543</v>
      </c>
      <c r="AR117" t="n">
        <v>5.329322318370846</v>
      </c>
      <c r="AS117" t="n">
        <v>5.3282</v>
      </c>
      <c r="AT117" t="n">
        <v>-0.0112</v>
      </c>
      <c r="AU117" t="n">
        <v>0.011</v>
      </c>
      <c r="AV117" t="n">
        <v>-0.09377723525964154</v>
      </c>
      <c r="AW117" t="n">
        <v>-0.08840000000000001</v>
      </c>
      <c r="AX117" t="n">
        <v>-0.0108</v>
      </c>
      <c r="AY117" t="n">
        <v>0.0116</v>
      </c>
      <c r="AZ117" t="n">
        <v>-0.1009712483455012</v>
      </c>
      <c r="BA117" t="n">
        <v>-0.1059</v>
      </c>
      <c r="BB117" t="n">
        <v>-0.0086</v>
      </c>
      <c r="BC117" t="n">
        <v>0.0086</v>
      </c>
      <c r="BD117" t="n">
        <v>3.319614694815756</v>
      </c>
      <c r="BE117" t="n">
        <v>2.3906</v>
      </c>
      <c r="BF117" t="n">
        <v>-0.234</v>
      </c>
      <c r="BG117" t="n">
        <v>0.2209</v>
      </c>
    </row>
    <row r="118" ht="27" customHeight="1" s="9">
      <c r="A118" s="3" t="n">
        <v>116</v>
      </c>
      <c r="B118" s="10">
        <f>IFERROR(AVERAGE(F118,L118,I118),"")</f>
        <v/>
      </c>
      <c r="C118" s="11" t="n">
        <v>3</v>
      </c>
      <c r="D118" s="11" t="inlineStr">
        <is>
          <t>A</t>
        </is>
      </c>
      <c r="E118" s="5" t="inlineStr">
        <is>
          <t>A</t>
        </is>
      </c>
      <c r="F118" s="3" t="n">
        <v>0.7925</v>
      </c>
      <c r="G118" s="4" t="inlineStr">
        <is>
          <t>Hb,O3b</t>
        </is>
      </c>
      <c r="H118" s="5" t="inlineStr">
        <is>
          <t>A</t>
        </is>
      </c>
      <c r="I118" s="3" t="n">
        <v>0.792</v>
      </c>
      <c r="J118" s="4" t="inlineStr">
        <is>
          <t>O3b</t>
        </is>
      </c>
      <c r="K118" s="5" t="inlineStr">
        <is>
          <t>A</t>
        </is>
      </c>
      <c r="L118" s="3" t="n">
        <v>0.793</v>
      </c>
      <c r="M118" s="4" t="inlineStr">
        <is>
          <t>Hb,O3a,O3b</t>
        </is>
      </c>
      <c r="N118" s="6" t="inlineStr">
        <is>
          <t>More than one target in this slit, an [O II] at 100 Angstrom (z=1.1095). Extra gal along light of sight?</t>
        </is>
      </c>
      <c r="P118" t="n">
        <v>41.976644</v>
      </c>
      <c r="Q118" t="n">
        <v>-3.4865642</v>
      </c>
      <c r="R118" t="n">
        <v>9.817</v>
      </c>
      <c r="S118" t="n">
        <v>0.062</v>
      </c>
    </row>
    <row r="119" ht="27" customHeight="1" s="9">
      <c r="A119" s="3" t="n">
        <v>117</v>
      </c>
      <c r="B119" s="10">
        <f>IFERROR(AVERAGE(F119,L119,I119),"")</f>
        <v/>
      </c>
      <c r="C119" s="11" t="n">
        <v>3</v>
      </c>
      <c r="D119" s="11" t="inlineStr">
        <is>
          <t>A</t>
        </is>
      </c>
      <c r="E119" s="5" t="inlineStr">
        <is>
          <t>B (sky)</t>
        </is>
      </c>
      <c r="F119" s="3" t="n">
        <v>0.612</v>
      </c>
      <c r="G119" s="4" t="inlineStr">
        <is>
          <t>Hb,O3b</t>
        </is>
      </c>
      <c r="H119" s="5" t="inlineStr">
        <is>
          <t>A</t>
        </is>
      </c>
      <c r="I119" s="3" t="n">
        <v>0.611</v>
      </c>
      <c r="J119" s="4" t="inlineStr">
        <is>
          <t>Hb,O3b</t>
        </is>
      </c>
      <c r="K119" s="5" t="inlineStr">
        <is>
          <t>A</t>
        </is>
      </c>
      <c r="L119" s="3" t="n">
        <v>0.612</v>
      </c>
      <c r="M119" s="4" t="inlineStr">
        <is>
          <t>O3b</t>
        </is>
      </c>
      <c r="N119" s="6" t="n"/>
      <c r="P119" t="n">
        <v>41.963847</v>
      </c>
      <c r="Q119" t="n">
        <v>-3.483863</v>
      </c>
      <c r="R119" t="n">
        <v>9.340999999999999</v>
      </c>
      <c r="S119" t="n">
        <v>0.075</v>
      </c>
      <c r="T119" t="n">
        <v>-0.04305042369945494</v>
      </c>
      <c r="U119" t="n">
        <v>-0.0478</v>
      </c>
      <c r="V119" t="n">
        <v>-0.0136</v>
      </c>
      <c r="W119" t="n">
        <v>0.0137</v>
      </c>
      <c r="X119" t="n">
        <v>0.006096713549439081</v>
      </c>
      <c r="Y119" t="n">
        <v>0.008800000000000001</v>
      </c>
      <c r="Z119" t="n">
        <v>-0.0133</v>
      </c>
      <c r="AA119" t="n">
        <v>0.014</v>
      </c>
      <c r="AB119" t="n">
        <v>2.087423136803415</v>
      </c>
      <c r="AC119" t="n">
        <v>2.1465</v>
      </c>
      <c r="AD119" t="n">
        <v>-0.1269</v>
      </c>
      <c r="AE119" t="n">
        <v>0.1275</v>
      </c>
      <c r="AF119" t="n">
        <v>67.85659009484822</v>
      </c>
      <c r="AG119" t="n">
        <v>89.48999999999999</v>
      </c>
      <c r="AH119" t="n">
        <v>-11.7881</v>
      </c>
      <c r="AI119" t="n">
        <v>12.8689</v>
      </c>
      <c r="AJ119" t="n">
        <v>0.9674010587246952</v>
      </c>
      <c r="AK119" t="n">
        <v>0.9772999999999999</v>
      </c>
      <c r="AL119" t="n">
        <v>-0.0171</v>
      </c>
      <c r="AM119" t="n">
        <v>0.008800000000000001</v>
      </c>
      <c r="AN119" t="n">
        <v>0.348816739480368</v>
      </c>
      <c r="AO119" t="n">
        <v>0.3472</v>
      </c>
      <c r="AP119" t="n">
        <v>-0.0056</v>
      </c>
      <c r="AQ119" t="n">
        <v>0.0057</v>
      </c>
      <c r="AR119" t="n">
        <v>4.546120329165252</v>
      </c>
      <c r="AS119" t="n">
        <v>4.5454</v>
      </c>
      <c r="AT119" t="n">
        <v>-0.0044</v>
      </c>
      <c r="AU119" t="n">
        <v>0.0044</v>
      </c>
      <c r="AV119" t="n">
        <v>0.5425645329069098</v>
      </c>
      <c r="AW119" t="n">
        <v>0.5441</v>
      </c>
      <c r="AX119" t="n">
        <v>-0.0167</v>
      </c>
      <c r="AY119" t="n">
        <v>0.0162</v>
      </c>
      <c r="AZ119" t="n">
        <v>-0.06506671657360674</v>
      </c>
      <c r="BA119" t="n">
        <v>-0.0401</v>
      </c>
      <c r="BB119" t="n">
        <v>-0.06900000000000001</v>
      </c>
      <c r="BC119" t="n">
        <v>0.06909999999999999</v>
      </c>
      <c r="BD119" t="n">
        <v>0.1627771321033749</v>
      </c>
      <c r="BE119" t="n">
        <v>0.2827</v>
      </c>
      <c r="BF119" t="n">
        <v>-0.1561</v>
      </c>
      <c r="BG119" t="n">
        <v>0.2532</v>
      </c>
    </row>
    <row r="120" ht="27" customHeight="1" s="9">
      <c r="A120" s="3" t="n">
        <v>118</v>
      </c>
      <c r="B120" s="10">
        <f>IFERROR(AVERAGE(F120,L120,I120),"")</f>
        <v/>
      </c>
      <c r="C120" s="11" t="n">
        <v>3</v>
      </c>
      <c r="D120" s="11" t="inlineStr">
        <is>
          <t>A</t>
        </is>
      </c>
      <c r="E120" s="5" t="inlineStr">
        <is>
          <t>A</t>
        </is>
      </c>
      <c r="F120" s="3" t="n">
        <v>0.6195000000000001</v>
      </c>
      <c r="G120" s="4" t="inlineStr">
        <is>
          <t>Hg,Hb,O3a,O3b</t>
        </is>
      </c>
      <c r="H120" s="5" t="inlineStr">
        <is>
          <t>A</t>
        </is>
      </c>
      <c r="I120" s="3" t="n">
        <v>0.619</v>
      </c>
      <c r="J120" s="4" t="inlineStr">
        <is>
          <t>Hg,Hb,O3a,O3b</t>
        </is>
      </c>
      <c r="K120" s="5" t="inlineStr">
        <is>
          <t>A</t>
        </is>
      </c>
      <c r="L120" s="3" t="n">
        <v>0.619</v>
      </c>
      <c r="M120" s="4" t="inlineStr">
        <is>
          <t>Hg,Hb,O3a,O3b</t>
        </is>
      </c>
      <c r="N120" s="6" t="n"/>
      <c r="P120" t="n">
        <v>41.911107</v>
      </c>
      <c r="Q120" t="n">
        <v>-3.4649008</v>
      </c>
      <c r="R120" t="n">
        <v>9.904999999999999</v>
      </c>
      <c r="S120" t="n">
        <v>0.025</v>
      </c>
      <c r="T120" t="n">
        <v>-0.04801462086675014</v>
      </c>
      <c r="U120" t="n">
        <v>-0.0257</v>
      </c>
      <c r="V120" t="n">
        <v>-0.021</v>
      </c>
      <c r="W120" t="n">
        <v>0.0204</v>
      </c>
      <c r="X120" t="n">
        <v>0.01579879617665719</v>
      </c>
      <c r="Y120" t="n">
        <v>0.018</v>
      </c>
      <c r="Z120" t="n">
        <v>-0.0172</v>
      </c>
      <c r="AA120" t="n">
        <v>0.0159</v>
      </c>
      <c r="AB120" t="n">
        <v>-2.892074175509495</v>
      </c>
      <c r="AC120" t="n">
        <v>-2.8531</v>
      </c>
      <c r="AD120" t="n">
        <v>-0.0565</v>
      </c>
      <c r="AE120" t="n">
        <v>0.0556</v>
      </c>
      <c r="AF120" t="n">
        <v>117.690029986984</v>
      </c>
      <c r="AG120" t="n">
        <v>121.8787</v>
      </c>
      <c r="AH120" t="n">
        <v>-13.1798</v>
      </c>
      <c r="AI120" t="n">
        <v>17.4149</v>
      </c>
      <c r="AJ120" t="n">
        <v>0.8331945173017776</v>
      </c>
      <c r="AK120" t="n">
        <v>0.87</v>
      </c>
      <c r="AL120" t="n">
        <v>-0.0411</v>
      </c>
      <c r="AM120" t="n">
        <v>0.0393</v>
      </c>
      <c r="AN120" t="n">
        <v>0.770968104587461</v>
      </c>
      <c r="AO120" t="n">
        <v>0.7613</v>
      </c>
      <c r="AP120" t="n">
        <v>-0.0187</v>
      </c>
      <c r="AQ120" t="n">
        <v>0.0201</v>
      </c>
      <c r="AR120" t="n">
        <v>5.139098180103632</v>
      </c>
      <c r="AS120" t="n">
        <v>5.1405</v>
      </c>
      <c r="AT120" t="n">
        <v>-0.0053</v>
      </c>
      <c r="AU120" t="n">
        <v>0.0054</v>
      </c>
      <c r="AV120" t="n">
        <v>-0.07952902188605648</v>
      </c>
      <c r="AW120" t="n">
        <v>-0.0901</v>
      </c>
      <c r="AX120" t="n">
        <v>-0.0105</v>
      </c>
      <c r="AY120" t="n">
        <v>0.0106</v>
      </c>
      <c r="AZ120" t="n">
        <v>0.08759045191193704</v>
      </c>
      <c r="BA120" t="n">
        <v>0.08309999999999999</v>
      </c>
      <c r="BB120" t="n">
        <v>-0.0106</v>
      </c>
      <c r="BC120" t="n">
        <v>0.0102</v>
      </c>
      <c r="BD120" t="n">
        <v>3.868469353689987</v>
      </c>
      <c r="BE120" t="n">
        <v>3.6218</v>
      </c>
      <c r="BF120" t="n">
        <v>-0.5617</v>
      </c>
      <c r="BG120" t="n">
        <v>0.2757</v>
      </c>
    </row>
    <row r="121" ht="27" customHeight="1" s="9">
      <c r="A121" s="3" t="n">
        <v>119</v>
      </c>
      <c r="B121" s="10">
        <f>IFERROR(AVERAGE(F121,L121,I121),"")</f>
        <v/>
      </c>
      <c r="C121" s="11" t="n">
        <v>2</v>
      </c>
      <c r="D121" s="11" t="inlineStr">
        <is>
          <t>B</t>
        </is>
      </c>
      <c r="E121" s="5" t="inlineStr">
        <is>
          <t>F (ns)</t>
        </is>
      </c>
      <c r="H121" s="5" t="inlineStr">
        <is>
          <t>B (sky)</t>
        </is>
      </c>
      <c r="I121" s="3" t="n">
        <v>1.205</v>
      </c>
      <c r="J121" s="4" t="inlineStr">
        <is>
          <t>O2</t>
        </is>
      </c>
      <c r="K121" s="5" t="inlineStr">
        <is>
          <t>F (ns)</t>
        </is>
      </c>
      <c r="N121" s="6" t="n"/>
      <c r="P121" t="n">
        <v>41.963897</v>
      </c>
      <c r="Q121" t="n">
        <v>-3.4937505</v>
      </c>
      <c r="R121" t="n">
        <v>9.922000000000001</v>
      </c>
      <c r="S121" t="n">
        <v>0.099</v>
      </c>
      <c r="T121" t="n">
        <v>-0.04503190890369409</v>
      </c>
      <c r="U121" t="n">
        <v>-0.0053</v>
      </c>
      <c r="V121" t="n">
        <v>-0.0634</v>
      </c>
      <c r="W121" t="n">
        <v>0.0824</v>
      </c>
      <c r="X121" t="n">
        <v>-0.06446356777216307</v>
      </c>
      <c r="Y121" t="n">
        <v>-0.07770000000000001</v>
      </c>
      <c r="Z121" t="n">
        <v>0.0483</v>
      </c>
      <c r="AA121" t="n">
        <v>-0.0823</v>
      </c>
      <c r="AB121" t="n">
        <v>-2.305230196729238</v>
      </c>
      <c r="AC121" t="n">
        <v>-2.2585</v>
      </c>
      <c r="AD121" t="n">
        <v>-0.0901</v>
      </c>
      <c r="AE121" t="n">
        <v>0.1267</v>
      </c>
      <c r="AF121" t="n">
        <v>259.4782006347756</v>
      </c>
      <c r="AG121" t="n">
        <v>201.5918</v>
      </c>
      <c r="AH121" t="n">
        <v>-23.5259</v>
      </c>
      <c r="AI121" t="n">
        <v>16.2843</v>
      </c>
      <c r="AJ121" t="n">
        <v>0.4514954634324992</v>
      </c>
      <c r="AK121" t="n">
        <v>0.4431</v>
      </c>
      <c r="AL121" t="n">
        <v>-0.0525</v>
      </c>
      <c r="AM121" t="n">
        <v>0.0806</v>
      </c>
      <c r="AN121" t="n">
        <v>0.6742383673153644</v>
      </c>
      <c r="AO121" t="n">
        <v>0.6836</v>
      </c>
      <c r="AP121" t="n">
        <v>-0.0506</v>
      </c>
      <c r="AQ121" t="n">
        <v>0.0457</v>
      </c>
      <c r="AR121" t="n">
        <v>4.155925995332655</v>
      </c>
      <c r="AS121" t="n">
        <v>4.1528</v>
      </c>
      <c r="AT121" t="n">
        <v>-0.0121</v>
      </c>
      <c r="AU121" t="n">
        <v>0.0116</v>
      </c>
      <c r="AV121" t="n">
        <v>-0.01735002214648818</v>
      </c>
      <c r="AW121" t="n">
        <v>-0.0455</v>
      </c>
      <c r="AX121" t="n">
        <v>-0.06510000000000001</v>
      </c>
      <c r="AY121" t="n">
        <v>0.0468</v>
      </c>
      <c r="AZ121" t="n">
        <v>0.2710421404042782</v>
      </c>
      <c r="BA121" t="n">
        <v>0.2677</v>
      </c>
      <c r="BB121" t="n">
        <v>-0.0291</v>
      </c>
      <c r="BC121" t="n">
        <v>0.0391</v>
      </c>
      <c r="BD121" t="n">
        <v>0.9143357055507045</v>
      </c>
      <c r="BE121" t="n">
        <v>0.5293</v>
      </c>
      <c r="BF121" t="n">
        <v>-0.1478</v>
      </c>
      <c r="BG121" t="n">
        <v>0.1512</v>
      </c>
    </row>
    <row r="122" ht="27" customHeight="1" s="9">
      <c r="A122" s="3" t="n">
        <v>120</v>
      </c>
      <c r="B122" s="10">
        <f>IFERROR(AVERAGE(F122,L122,I122),"")</f>
        <v/>
      </c>
      <c r="C122" s="11" t="n">
        <v>3</v>
      </c>
      <c r="D122" s="11" t="inlineStr">
        <is>
          <t>A</t>
        </is>
      </c>
      <c r="E122" s="5" t="inlineStr">
        <is>
          <t>A</t>
        </is>
      </c>
      <c r="F122" s="3" t="n">
        <v>0.665</v>
      </c>
      <c r="G122" s="4" t="inlineStr">
        <is>
          <t>Hb,O3b</t>
        </is>
      </c>
      <c r="H122" s="5" t="inlineStr">
        <is>
          <t>A</t>
        </is>
      </c>
      <c r="I122" s="3" t="n">
        <v>0.6645</v>
      </c>
      <c r="J122" s="4" t="inlineStr">
        <is>
          <t>Hb,O3b</t>
        </is>
      </c>
      <c r="K122" s="5" t="inlineStr">
        <is>
          <t>A</t>
        </is>
      </c>
      <c r="L122" s="3" t="n">
        <v>0.664</v>
      </c>
      <c r="M122" s="4" t="inlineStr">
        <is>
          <t>Hb,O3b</t>
        </is>
      </c>
      <c r="N122" s="6" t="n"/>
      <c r="P122" t="n">
        <v>41.95786</v>
      </c>
      <c r="Q122" t="n">
        <v>-3.4941555</v>
      </c>
      <c r="R122" t="n">
        <v>10.371</v>
      </c>
      <c r="S122" t="n">
        <v>0.042</v>
      </c>
      <c r="T122" t="n">
        <v>-0.1326272668426394</v>
      </c>
      <c r="U122" t="n">
        <v>-0.1397</v>
      </c>
      <c r="V122" t="n">
        <v>0.0075</v>
      </c>
      <c r="W122" t="n">
        <v>-0.0132</v>
      </c>
      <c r="X122" t="n">
        <v>0.03034721030155008</v>
      </c>
      <c r="Y122" t="n">
        <v>0.0399</v>
      </c>
      <c r="Z122" t="n">
        <v>-0.0184</v>
      </c>
      <c r="AA122" t="n">
        <v>0.0186</v>
      </c>
      <c r="AB122" t="n">
        <v>2.939023113137663</v>
      </c>
      <c r="AC122" t="n">
        <v>2.9237</v>
      </c>
      <c r="AD122" t="n">
        <v>-0.0229</v>
      </c>
      <c r="AE122" t="n">
        <v>0.023</v>
      </c>
      <c r="AF122" t="n">
        <v>250.9990112511374</v>
      </c>
      <c r="AG122" t="n">
        <v>222.9631</v>
      </c>
      <c r="AH122" t="n">
        <v>-15.6899</v>
      </c>
      <c r="AI122" t="n">
        <v>15.4098</v>
      </c>
      <c r="AJ122" t="n">
        <v>0.8306912207863349</v>
      </c>
      <c r="AK122" t="n">
        <v>0.7855</v>
      </c>
      <c r="AL122" t="n">
        <v>-0.0332</v>
      </c>
      <c r="AM122" t="n">
        <v>0.0334</v>
      </c>
      <c r="AN122" t="n">
        <v>1.440526830194161</v>
      </c>
      <c r="AO122" t="n">
        <v>1.4566</v>
      </c>
      <c r="AP122" t="n">
        <v>-0.0443</v>
      </c>
      <c r="AQ122" t="n">
        <v>0.0467</v>
      </c>
      <c r="AR122" t="n">
        <v>5.400258365134716</v>
      </c>
      <c r="AS122" t="n">
        <v>5.3908</v>
      </c>
      <c r="AT122" t="n">
        <v>-0.012</v>
      </c>
      <c r="AU122" t="n">
        <v>0.0119</v>
      </c>
      <c r="AV122" t="n">
        <v>0.1176113092453182</v>
      </c>
      <c r="AW122" t="n">
        <v>0.111</v>
      </c>
      <c r="AX122" t="n">
        <v>-0.0164</v>
      </c>
      <c r="AY122" t="n">
        <v>0.0158</v>
      </c>
      <c r="AZ122" t="n">
        <v>0.07328625504702546</v>
      </c>
      <c r="BA122" t="n">
        <v>0.0733</v>
      </c>
      <c r="BB122" t="n">
        <v>-0.0125</v>
      </c>
      <c r="BC122" t="n">
        <v>0.0125</v>
      </c>
      <c r="BD122" t="n">
        <v>0.6077947458289048</v>
      </c>
      <c r="BE122" t="n">
        <v>0.5552</v>
      </c>
      <c r="BF122" t="n">
        <v>-0.1207</v>
      </c>
      <c r="BG122" t="n">
        <v>0.1331</v>
      </c>
    </row>
    <row r="123" ht="27" customHeight="1" s="9">
      <c r="A123" s="3" t="n">
        <v>121</v>
      </c>
      <c r="B123" s="10">
        <f>IFERROR(AVERAGE(F123,L123,I123),"")</f>
        <v/>
      </c>
      <c r="C123" s="11" t="n"/>
      <c r="D123" s="11" t="inlineStr">
        <is>
          <t>E</t>
        </is>
      </c>
      <c r="E123" s="5" t="inlineStr">
        <is>
          <t>F (ns)</t>
        </is>
      </c>
      <c r="H123" s="5" t="inlineStr">
        <is>
          <t>E (fc)</t>
        </is>
      </c>
      <c r="I123" s="3" t="n"/>
      <c r="K123" s="5" t="inlineStr">
        <is>
          <t>F (ns)</t>
        </is>
      </c>
      <c r="N123" s="6" t="n"/>
      <c r="P123" t="n">
        <v>41.981894</v>
      </c>
      <c r="Q123" t="n">
        <v>-3.5104804</v>
      </c>
    </row>
    <row r="124" ht="27" customHeight="1" s="9">
      <c r="A124" s="3" t="n">
        <v>122</v>
      </c>
      <c r="B124" s="10">
        <f>IFERROR(AVERAGE(F124,L124,I124),"")</f>
        <v/>
      </c>
      <c r="C124" s="11" t="n">
        <v>3</v>
      </c>
      <c r="D124" s="11" t="inlineStr">
        <is>
          <t>A</t>
        </is>
      </c>
      <c r="E124" s="5" t="inlineStr">
        <is>
          <t>A</t>
        </is>
      </c>
      <c r="F124" s="3" t="n">
        <v>0.6225000000000001</v>
      </c>
      <c r="G124" s="4" t="inlineStr">
        <is>
          <t>Hb,O3b</t>
        </is>
      </c>
      <c r="H124" s="5" t="inlineStr">
        <is>
          <t>A</t>
        </is>
      </c>
      <c r="I124" s="3" t="n">
        <v>0.621</v>
      </c>
      <c r="J124" s="4" t="inlineStr">
        <is>
          <t>Hb,O3b</t>
        </is>
      </c>
      <c r="K124" s="5" t="inlineStr">
        <is>
          <t>A</t>
        </is>
      </c>
      <c r="L124" s="3" t="n">
        <v>0.621</v>
      </c>
      <c r="M124" s="4" t="inlineStr">
        <is>
          <t>Hb,O3b</t>
        </is>
      </c>
      <c r="N124" s="6" t="n"/>
      <c r="P124" t="n">
        <v>41.963496</v>
      </c>
      <c r="Q124" t="n">
        <v>-3.5049123</v>
      </c>
      <c r="R124" t="n">
        <v>10.201</v>
      </c>
      <c r="S124" t="n">
        <v>0.004</v>
      </c>
    </row>
    <row r="125" ht="27" customHeight="1" s="9">
      <c r="A125" s="3" t="n">
        <v>123</v>
      </c>
      <c r="B125" s="10">
        <f>IFERROR(AVERAGE(F125,L125,I125),"")</f>
        <v/>
      </c>
      <c r="C125" s="11" t="n"/>
      <c r="D125" s="11" t="inlineStr">
        <is>
          <t>C</t>
        </is>
      </c>
      <c r="E125" s="5" t="inlineStr">
        <is>
          <t>C (cs)</t>
        </is>
      </c>
      <c r="H125" s="5" t="inlineStr">
        <is>
          <t>C (cs)</t>
        </is>
      </c>
      <c r="I125" s="3" t="n"/>
      <c r="K125" s="5" t="inlineStr">
        <is>
          <t>C (cs)</t>
        </is>
      </c>
      <c r="N125" s="6" t="n"/>
      <c r="P125" t="n">
        <v>41.979361</v>
      </c>
      <c r="Q125" t="n">
        <v>-3.5155042</v>
      </c>
    </row>
    <row r="126" ht="27" customHeight="1" s="9">
      <c r="A126" s="3" t="n">
        <v>124</v>
      </c>
      <c r="B126" s="10">
        <f>IFERROR(AVERAGE(F126,L126,I126),"")</f>
        <v/>
      </c>
      <c r="C126" s="11" t="n"/>
      <c r="D126" s="11" t="inlineStr">
        <is>
          <t>E</t>
        </is>
      </c>
      <c r="E126" s="5" t="inlineStr">
        <is>
          <t>E (fc)</t>
        </is>
      </c>
      <c r="H126" s="5" t="inlineStr">
        <is>
          <t>E (fc)</t>
        </is>
      </c>
      <c r="I126" s="3" t="n"/>
      <c r="K126" s="5" t="inlineStr">
        <is>
          <t>E (fc)</t>
        </is>
      </c>
      <c r="N126" s="6" t="n"/>
      <c r="P126" t="n">
        <v>41.960187</v>
      </c>
      <c r="Q126" t="n">
        <v>-3.5101429</v>
      </c>
    </row>
    <row r="127" ht="27" customHeight="1" s="9">
      <c r="A127" s="3" t="n">
        <v>125</v>
      </c>
      <c r="B127" s="10">
        <f>IFERROR(AVERAGE(F127,L127,I127),"")</f>
        <v/>
      </c>
      <c r="C127" s="11" t="n"/>
      <c r="D127" s="11" t="inlineStr">
        <is>
          <t>F</t>
        </is>
      </c>
      <c r="E127" s="5" t="inlineStr">
        <is>
          <t>F (ns)</t>
        </is>
      </c>
      <c r="H127" s="5" t="inlineStr">
        <is>
          <t>F (ns)</t>
        </is>
      </c>
      <c r="I127" s="3" t="n"/>
      <c r="K127" s="5" t="inlineStr">
        <is>
          <t>F (ns)</t>
        </is>
      </c>
      <c r="N127" s="6" t="n"/>
      <c r="P127" t="n">
        <v>41.904261</v>
      </c>
      <c r="Q127" t="n">
        <v>-3.4868777</v>
      </c>
    </row>
    <row r="128" ht="27" customHeight="1" s="9">
      <c r="A128" s="3" t="n">
        <v>126</v>
      </c>
      <c r="B128" s="10">
        <f>IFERROR(AVERAGE(F128,L128,I128),"")</f>
        <v/>
      </c>
      <c r="C128" s="11" t="n"/>
      <c r="D128" s="11" t="inlineStr">
        <is>
          <t>E</t>
        </is>
      </c>
      <c r="E128" s="5" t="inlineStr">
        <is>
          <t>E (fc)</t>
        </is>
      </c>
      <c r="H128" s="5" t="inlineStr">
        <is>
          <t>E (fc)</t>
        </is>
      </c>
      <c r="I128" s="3" t="n"/>
      <c r="K128" s="5" t="inlineStr">
        <is>
          <t>E (fc)</t>
        </is>
      </c>
      <c r="N128" s="6" t="n"/>
      <c r="P128" t="n">
        <v>41.945271</v>
      </c>
      <c r="Q128" t="n">
        <v>-3.5087032</v>
      </c>
    </row>
    <row r="129" ht="27" customHeight="1" s="9">
      <c r="A129" s="3" t="n">
        <v>127</v>
      </c>
      <c r="B129" s="10">
        <f>IFERROR(AVERAGE(F129,L129,I129),"")</f>
        <v/>
      </c>
      <c r="C129" s="11" t="n">
        <v>3</v>
      </c>
      <c r="D129" s="11" t="inlineStr">
        <is>
          <t>A</t>
        </is>
      </c>
      <c r="E129" s="5" t="inlineStr">
        <is>
          <t>A</t>
        </is>
      </c>
      <c r="F129" s="3" t="n">
        <v>0.622</v>
      </c>
      <c r="G129" s="4" t="inlineStr">
        <is>
          <t>O3b</t>
        </is>
      </c>
      <c r="H129" s="5" t="inlineStr">
        <is>
          <t>A</t>
        </is>
      </c>
      <c r="I129" s="3" t="n">
        <v>0.621</v>
      </c>
      <c r="J129" s="4" t="inlineStr">
        <is>
          <t>Hb,O3a,O3b</t>
        </is>
      </c>
      <c r="K129" s="5" t="inlineStr">
        <is>
          <t>F (ns)</t>
        </is>
      </c>
      <c r="N129" s="6" t="n"/>
      <c r="O129" s="4" t="inlineStr">
        <is>
          <t>Hb,O3a</t>
        </is>
      </c>
      <c r="P129" t="n">
        <v>41.962998</v>
      </c>
      <c r="Q129" t="n">
        <v>-3.5201984</v>
      </c>
      <c r="R129" t="n">
        <v>9.696999999999999</v>
      </c>
      <c r="S129" t="n">
        <v>0.063</v>
      </c>
      <c r="T129" t="n">
        <v>-0.0314862842365197</v>
      </c>
      <c r="U129" t="n">
        <v>0.0548</v>
      </c>
      <c r="V129" t="n">
        <v>-0.083</v>
      </c>
      <c r="W129" t="n">
        <v>0.06279999999999999</v>
      </c>
      <c r="X129" t="n">
        <v>0.1435308147739638</v>
      </c>
      <c r="Y129" t="n">
        <v>0.1401</v>
      </c>
      <c r="Z129" t="n">
        <v>0.0142</v>
      </c>
      <c r="AA129" t="n">
        <v>-0.007</v>
      </c>
      <c r="AB129" t="n">
        <v>-1.555825772715298</v>
      </c>
      <c r="AC129" t="n">
        <v>-1.5486</v>
      </c>
      <c r="AD129" t="n">
        <v>-0.0244</v>
      </c>
      <c r="AE129" t="n">
        <v>0.0194</v>
      </c>
      <c r="AF129" t="n">
        <v>224.3009043884386</v>
      </c>
      <c r="AG129" t="n">
        <v>167.7361</v>
      </c>
      <c r="AH129" t="n">
        <v>-15.5766</v>
      </c>
      <c r="AI129" t="n">
        <v>13.3248</v>
      </c>
      <c r="AJ129" t="n">
        <v>0.5459474578800996</v>
      </c>
      <c r="AK129" t="n">
        <v>0.4535</v>
      </c>
      <c r="AL129" t="n">
        <v>-0.0593</v>
      </c>
      <c r="AM129" t="n">
        <v>0.0901</v>
      </c>
      <c r="AN129" t="n">
        <v>0.6374984719322678</v>
      </c>
      <c r="AO129" t="n">
        <v>0.6926</v>
      </c>
      <c r="AP129" t="n">
        <v>-0.0536</v>
      </c>
      <c r="AQ129" t="n">
        <v>0.0468</v>
      </c>
      <c r="AR129" t="n">
        <v>4.638782093923416</v>
      </c>
      <c r="AS129" t="n">
        <v>4.6324</v>
      </c>
      <c r="AT129" t="n">
        <v>-0.0047</v>
      </c>
      <c r="AU129" t="n">
        <v>0.0048</v>
      </c>
      <c r="AV129" t="n">
        <v>-0.2170991679272656</v>
      </c>
      <c r="AW129" t="n">
        <v>-0.2154</v>
      </c>
      <c r="AX129" t="n">
        <v>-0.0129</v>
      </c>
      <c r="AY129" t="n">
        <v>0.0135</v>
      </c>
      <c r="AZ129" t="n">
        <v>0.2526551210572938</v>
      </c>
      <c r="BA129" t="n">
        <v>0.2164</v>
      </c>
      <c r="BB129" t="n">
        <v>-0.0263</v>
      </c>
      <c r="BC129" t="n">
        <v>0.0375</v>
      </c>
      <c r="BD129" t="n">
        <v>1.273667539470893</v>
      </c>
      <c r="BE129" t="n">
        <v>1.0606</v>
      </c>
      <c r="BF129" t="n">
        <v>-0.1914</v>
      </c>
      <c r="BG129" t="n">
        <v>0.1788</v>
      </c>
    </row>
    <row r="130" ht="27" customHeight="1" s="9">
      <c r="A130" s="3" t="n">
        <v>128</v>
      </c>
      <c r="B130" s="10">
        <f>IFERROR(AVERAGE(F130,L130,I130),"")</f>
        <v/>
      </c>
      <c r="C130" s="11" t="n">
        <v>3</v>
      </c>
      <c r="D130" s="11" t="inlineStr">
        <is>
          <t>A</t>
        </is>
      </c>
      <c r="E130" s="5" t="inlineStr">
        <is>
          <t>A</t>
        </is>
      </c>
      <c r="F130" s="3" t="n">
        <v>0.4705</v>
      </c>
      <c r="G130" s="4" t="inlineStr">
        <is>
          <t>O3b,Ha</t>
        </is>
      </c>
      <c r="H130" s="5" t="inlineStr">
        <is>
          <t>A</t>
        </is>
      </c>
      <c r="I130" s="3" t="n">
        <v>0.469</v>
      </c>
      <c r="J130" s="4" t="inlineStr">
        <is>
          <t>O3b,Ha</t>
        </is>
      </c>
      <c r="K130" s="5" t="inlineStr">
        <is>
          <t>A</t>
        </is>
      </c>
      <c r="L130" s="3" t="n">
        <v>0.47</v>
      </c>
      <c r="M130" s="4" t="inlineStr">
        <is>
          <t>O3b,Ha</t>
        </is>
      </c>
      <c r="N130" s="6" t="n"/>
      <c r="P130" t="n">
        <v>41.974919</v>
      </c>
      <c r="Q130" t="n">
        <v>-3.5299112</v>
      </c>
      <c r="R130" t="n">
        <v>9.643000000000001</v>
      </c>
      <c r="S130" t="n">
        <v>0.07000000000000001</v>
      </c>
      <c r="T130" t="n">
        <v>0.1421034304733141</v>
      </c>
      <c r="U130" t="n">
        <v>0.08409999999999999</v>
      </c>
      <c r="V130" t="n">
        <v>0.0655</v>
      </c>
      <c r="W130" t="n">
        <v>-0.0451</v>
      </c>
      <c r="X130" t="n">
        <v>-0.05728670722409188</v>
      </c>
      <c r="Y130" t="n">
        <v>-0.04</v>
      </c>
      <c r="Z130" t="n">
        <v>-0.0212</v>
      </c>
      <c r="AA130" t="n">
        <v>0.0195</v>
      </c>
      <c r="AB130" t="n">
        <v>1.47956810553105</v>
      </c>
      <c r="AC130" t="n">
        <v>1.4632</v>
      </c>
      <c r="AD130" t="n">
        <v>-0.0284</v>
      </c>
      <c r="AE130" t="n">
        <v>0.0276</v>
      </c>
      <c r="AF130" t="n">
        <v>107.9453603748536</v>
      </c>
      <c r="AG130" t="n">
        <v>116.7987</v>
      </c>
      <c r="AH130" t="n">
        <v>-9.976699999999999</v>
      </c>
      <c r="AI130" t="n">
        <v>12.449</v>
      </c>
      <c r="AJ130" t="n">
        <v>0.5038621627867697</v>
      </c>
      <c r="AK130" t="n">
        <v>0.5790999999999999</v>
      </c>
      <c r="AL130" t="n">
        <v>-0.0572</v>
      </c>
      <c r="AM130" t="n">
        <v>0.0891</v>
      </c>
      <c r="AN130" t="n">
        <v>1.186066359003322</v>
      </c>
      <c r="AO130" t="n">
        <v>1.1062</v>
      </c>
      <c r="AP130" t="n">
        <v>-0.07140000000000001</v>
      </c>
      <c r="AQ130" t="n">
        <v>0.0589</v>
      </c>
      <c r="AR130" t="n">
        <v>4.942021349051649</v>
      </c>
      <c r="AS130" t="n">
        <v>4.943</v>
      </c>
      <c r="AT130" t="n">
        <v>-0.0091</v>
      </c>
      <c r="AU130" t="n">
        <v>0.0091</v>
      </c>
      <c r="AV130" t="n">
        <v>0.1980180825664191</v>
      </c>
      <c r="AW130" t="n">
        <v>0.195</v>
      </c>
      <c r="AX130" t="n">
        <v>-0.0146</v>
      </c>
      <c r="AY130" t="n">
        <v>0.0149</v>
      </c>
      <c r="AZ130" t="n">
        <v>-0.07624272181660929</v>
      </c>
      <c r="BA130" t="n">
        <v>-0.09710000000000001</v>
      </c>
      <c r="BB130" t="n">
        <v>-0.0153</v>
      </c>
      <c r="BC130" t="n">
        <v>0.0129</v>
      </c>
      <c r="BD130" t="n">
        <v>1.084547505147249</v>
      </c>
      <c r="BE130" t="n">
        <v>1.0044</v>
      </c>
      <c r="BF130" t="n">
        <v>-0.1713</v>
      </c>
      <c r="BG130" t="n">
        <v>0.2066</v>
      </c>
    </row>
    <row r="131" ht="27" customHeight="1" s="9">
      <c r="A131" s="3" t="n">
        <v>129</v>
      </c>
      <c r="B131" s="10">
        <f>IFERROR(AVERAGE(F131,L131,I131),"")</f>
        <v/>
      </c>
      <c r="C131" s="11" t="n">
        <v>3</v>
      </c>
      <c r="D131" s="11" t="inlineStr">
        <is>
          <t>A</t>
        </is>
      </c>
      <c r="E131" s="5" t="inlineStr">
        <is>
          <t>B (sky)</t>
        </is>
      </c>
      <c r="F131" s="3" t="n">
        <v>0.464</v>
      </c>
      <c r="G131" s="4" t="inlineStr">
        <is>
          <t>Hb,O3a,O3b,Ha</t>
        </is>
      </c>
      <c r="H131" s="5" t="inlineStr">
        <is>
          <t>A</t>
        </is>
      </c>
      <c r="I131" s="3" t="n">
        <v>0.464</v>
      </c>
      <c r="J131" s="4" t="inlineStr">
        <is>
          <t>Hb,O3a,O3b,Ha</t>
        </is>
      </c>
      <c r="K131" s="5" t="inlineStr">
        <is>
          <t>A</t>
        </is>
      </c>
      <c r="L131" s="3" t="n">
        <v>0.464</v>
      </c>
      <c r="M131" s="4" t="inlineStr">
        <is>
          <t>Hb,O3a,O3b,Ha</t>
        </is>
      </c>
      <c r="N131" s="6" t="n"/>
      <c r="P131" t="n">
        <v>41.947114</v>
      </c>
      <c r="Q131" t="n">
        <v>-3.5213136</v>
      </c>
      <c r="R131" t="n">
        <v>9.445</v>
      </c>
      <c r="S131" t="n">
        <v>0.043</v>
      </c>
    </row>
    <row r="132" ht="27" customHeight="1" s="9">
      <c r="A132" s="3" t="n">
        <v>130</v>
      </c>
      <c r="B132" s="10">
        <f>IFERROR(AVERAGE(F132,L132,I132),"")</f>
        <v/>
      </c>
      <c r="C132" s="11" t="n">
        <v>3</v>
      </c>
      <c r="D132" s="11" t="inlineStr">
        <is>
          <t>A</t>
        </is>
      </c>
      <c r="E132" s="5" t="inlineStr">
        <is>
          <t>A</t>
        </is>
      </c>
      <c r="F132" s="3" t="n">
        <v>0.7065</v>
      </c>
      <c r="G132" s="4" t="inlineStr">
        <is>
          <t>O3b</t>
        </is>
      </c>
      <c r="H132" s="5" t="inlineStr">
        <is>
          <t>A</t>
        </is>
      </c>
      <c r="I132" s="3" t="n">
        <v>0.705</v>
      </c>
      <c r="J132" s="4" t="inlineStr">
        <is>
          <t>Hg,Hb,O3a,O3b</t>
        </is>
      </c>
      <c r="K132" s="5" t="inlineStr">
        <is>
          <t>B (sky)</t>
        </is>
      </c>
      <c r="L132" s="3" t="n">
        <v>0.707</v>
      </c>
      <c r="M132" s="4" t="inlineStr">
        <is>
          <t>Hg,Hb,O3a,O3b</t>
        </is>
      </c>
      <c r="N132" s="6" t="n"/>
      <c r="O132" s="4" t="inlineStr">
        <is>
          <t>Hg,Hb,O3a</t>
        </is>
      </c>
      <c r="P132" t="n">
        <v>41.885212</v>
      </c>
      <c r="Q132" t="n">
        <v>-3.4952003</v>
      </c>
      <c r="R132" t="n">
        <v>9.398999999999999</v>
      </c>
      <c r="S132" t="n">
        <v>0.123</v>
      </c>
      <c r="T132" t="n">
        <v>-0.1253350822801365</v>
      </c>
      <c r="U132" t="n">
        <v>-0.1287</v>
      </c>
      <c r="V132" t="n">
        <v>0.0147</v>
      </c>
      <c r="W132" t="n">
        <v>-0.0227</v>
      </c>
      <c r="X132" t="n">
        <v>-0.02677879066863693</v>
      </c>
      <c r="Y132" t="n">
        <v>0.0237</v>
      </c>
      <c r="Z132" t="n">
        <v>-0.0306</v>
      </c>
      <c r="AA132" t="n">
        <v>0.0362</v>
      </c>
      <c r="AB132" t="n">
        <v>-1.115977056728779</v>
      </c>
      <c r="AC132" t="n">
        <v>-1.0575</v>
      </c>
      <c r="AD132" t="n">
        <v>-0.0182</v>
      </c>
      <c r="AE132" t="n">
        <v>0.0182</v>
      </c>
      <c r="AF132" t="n">
        <v>321.7367532341987</v>
      </c>
      <c r="AG132" t="n">
        <v>178.955</v>
      </c>
      <c r="AH132" t="n">
        <v>-13.1772</v>
      </c>
      <c r="AI132" t="n">
        <v>14.9476</v>
      </c>
      <c r="AJ132" t="n">
        <v>0.4723325659412213</v>
      </c>
      <c r="AK132" t="n">
        <v>0.4492</v>
      </c>
      <c r="AL132" t="n">
        <v>-0.0399</v>
      </c>
      <c r="AM132" t="n">
        <v>0.0365</v>
      </c>
      <c r="AN132" t="n">
        <v>0.794710496625491</v>
      </c>
      <c r="AO132" t="n">
        <v>0.8149</v>
      </c>
      <c r="AP132" t="n">
        <v>-0.0306</v>
      </c>
      <c r="AQ132" t="n">
        <v>0.0341</v>
      </c>
      <c r="AR132" t="n">
        <v>4.541765964977957</v>
      </c>
      <c r="AS132" t="n">
        <v>4.5361</v>
      </c>
      <c r="AT132" t="n">
        <v>-0.0062</v>
      </c>
      <c r="AU132" t="n">
        <v>0.0063</v>
      </c>
      <c r="AV132" t="n">
        <v>0.1183544822887106</v>
      </c>
      <c r="AW132" t="n">
        <v>0.1266</v>
      </c>
      <c r="AX132" t="n">
        <v>-0.0121</v>
      </c>
      <c r="AY132" t="n">
        <v>0.0123</v>
      </c>
      <c r="AZ132" t="n">
        <v>0.09915777241130286</v>
      </c>
      <c r="BA132" t="n">
        <v>0.0873</v>
      </c>
      <c r="BB132" t="n">
        <v>-0.0092</v>
      </c>
      <c r="BC132" t="n">
        <v>0.0092</v>
      </c>
      <c r="BD132" t="n">
        <v>2.121354493831884</v>
      </c>
      <c r="BE132" t="n">
        <v>1.1009</v>
      </c>
      <c r="BF132" t="n">
        <v>-0.1481</v>
      </c>
      <c r="BG132" t="n">
        <v>0.1574</v>
      </c>
    </row>
    <row r="133" ht="27" customHeight="1" s="9">
      <c r="A133" s="3" t="n">
        <v>131</v>
      </c>
      <c r="B133" s="10">
        <f>IFERROR(AVERAGE(F133,L133,I133),"")</f>
        <v/>
      </c>
      <c r="C133" s="11" t="n">
        <v>3</v>
      </c>
      <c r="D133" s="11" t="inlineStr">
        <is>
          <t>A</t>
        </is>
      </c>
      <c r="E133" s="5" t="inlineStr">
        <is>
          <t>A</t>
        </is>
      </c>
      <c r="F133" s="3" t="n">
        <v>0.5305</v>
      </c>
      <c r="G133" s="4" t="inlineStr">
        <is>
          <t>Hb,O3a,O3b</t>
        </is>
      </c>
      <c r="H133" s="5" t="inlineStr">
        <is>
          <t>A</t>
        </is>
      </c>
      <c r="I133" s="3" t="n">
        <v>0.53</v>
      </c>
      <c r="J133" s="4" t="inlineStr">
        <is>
          <t>Hb,O3a,O3b</t>
        </is>
      </c>
      <c r="K133" s="5" t="inlineStr">
        <is>
          <t>A</t>
        </is>
      </c>
      <c r="L133" s="3" t="n">
        <v>0.5305</v>
      </c>
      <c r="M133" s="4" t="inlineStr">
        <is>
          <t>Hb,O3a,O3b</t>
        </is>
      </c>
      <c r="N133" s="6" t="n"/>
      <c r="O133" s="4" t="inlineStr">
        <is>
          <t>O3a</t>
        </is>
      </c>
      <c r="P133" t="n">
        <v>41.938993</v>
      </c>
      <c r="Q133" t="n">
        <v>-3.5236247</v>
      </c>
      <c r="R133" t="n">
        <v>9.647</v>
      </c>
      <c r="S133" t="n">
        <v>0.044</v>
      </c>
      <c r="T133" t="n">
        <v>-0.05299802449607845</v>
      </c>
      <c r="U133" t="n">
        <v>-0.0532</v>
      </c>
      <c r="V133" t="n">
        <v>-0.0184</v>
      </c>
      <c r="W133" t="n">
        <v>0.0189</v>
      </c>
      <c r="X133" t="n">
        <v>-0.1136379302501727</v>
      </c>
      <c r="Y133" t="n">
        <v>-0.1248</v>
      </c>
      <c r="Z133" t="n">
        <v>0.0183</v>
      </c>
      <c r="AA133" t="n">
        <v>-0.0319</v>
      </c>
      <c r="AB133" t="n">
        <v>0.8047172538599696</v>
      </c>
      <c r="AC133" t="n">
        <v>0.8037</v>
      </c>
      <c r="AD133" t="n">
        <v>-0.0335</v>
      </c>
      <c r="AE133" t="n">
        <v>0.0344</v>
      </c>
      <c r="AF133" t="n">
        <v>181.9520324797686</v>
      </c>
      <c r="AG133" t="n">
        <v>168.8823</v>
      </c>
      <c r="AH133" t="n">
        <v>-9.272600000000001</v>
      </c>
      <c r="AI133" t="n">
        <v>9.2723</v>
      </c>
      <c r="AJ133" t="n">
        <v>0.5910346270578308</v>
      </c>
      <c r="AK133" t="n">
        <v>0.5760999999999999</v>
      </c>
      <c r="AL133" t="n">
        <v>-0.0237</v>
      </c>
      <c r="AM133" t="n">
        <v>0.0389</v>
      </c>
      <c r="AN133" t="n">
        <v>0.6192070581867164</v>
      </c>
      <c r="AO133" t="n">
        <v>0.6264999999999999</v>
      </c>
      <c r="AP133" t="n">
        <v>-0.0197</v>
      </c>
      <c r="AQ133" t="n">
        <v>0.0141</v>
      </c>
      <c r="AR133" t="n">
        <v>4.790171637605459</v>
      </c>
      <c r="AS133" t="n">
        <v>4.7915</v>
      </c>
      <c r="AT133" t="n">
        <v>-0.0039</v>
      </c>
      <c r="AU133" t="n">
        <v>0.0039</v>
      </c>
      <c r="AV133" t="n">
        <v>0.300287389153592</v>
      </c>
      <c r="AW133" t="n">
        <v>0.2957</v>
      </c>
      <c r="AX133" t="n">
        <v>-0.0125</v>
      </c>
      <c r="AY133" t="n">
        <v>0.0118</v>
      </c>
      <c r="AZ133" t="n">
        <v>-0.137783949844454</v>
      </c>
      <c r="BA133" t="n">
        <v>-0.1419</v>
      </c>
      <c r="BB133" t="n">
        <v>-0.0112</v>
      </c>
      <c r="BC133" t="n">
        <v>0.0101</v>
      </c>
      <c r="BD133" t="n">
        <v>0.9729360939670127</v>
      </c>
      <c r="BE133" t="n">
        <v>0.8649</v>
      </c>
      <c r="BF133" t="n">
        <v>-0.0914</v>
      </c>
      <c r="BG133" t="n">
        <v>0.1031</v>
      </c>
    </row>
    <row r="134" ht="27" customHeight="1" s="9">
      <c r="A134" s="3" t="n">
        <v>132</v>
      </c>
      <c r="B134" s="10">
        <f>IFERROR(AVERAGE(F134,L134,I134),"")</f>
        <v/>
      </c>
      <c r="C134" s="11" t="n">
        <v>3</v>
      </c>
      <c r="D134" s="11" t="inlineStr">
        <is>
          <t>A</t>
        </is>
      </c>
      <c r="E134" s="5" t="inlineStr">
        <is>
          <t>E (fc)</t>
        </is>
      </c>
      <c r="H134" s="5" t="inlineStr">
        <is>
          <t>A</t>
        </is>
      </c>
      <c r="I134" s="3" t="n">
        <v>0.592</v>
      </c>
      <c r="J134" s="4" t="inlineStr">
        <is>
          <t>Hb,O3a,O3b</t>
        </is>
      </c>
      <c r="K134" s="5" t="inlineStr">
        <is>
          <t>B (sky)</t>
        </is>
      </c>
      <c r="L134" s="3" t="n">
        <v>0.5925</v>
      </c>
      <c r="M134" s="4" t="inlineStr">
        <is>
          <t>Hb,O3b</t>
        </is>
      </c>
      <c r="N134" s="6" t="n"/>
      <c r="P134" t="n">
        <v>41.920101</v>
      </c>
      <c r="Q134" t="n">
        <v>-3.5196264</v>
      </c>
      <c r="R134" t="n">
        <v>9.757999999999999</v>
      </c>
      <c r="S134" t="n">
        <v>0.053</v>
      </c>
      <c r="T134" t="n">
        <v>-0.1489530181530206</v>
      </c>
      <c r="U134" t="n">
        <v>-0.0828</v>
      </c>
      <c r="V134" t="n">
        <v>-0.0343</v>
      </c>
      <c r="W134" t="n">
        <v>0.0284</v>
      </c>
      <c r="X134" t="n">
        <v>0.06960620226297806</v>
      </c>
      <c r="Y134" t="n">
        <v>-0.0136</v>
      </c>
      <c r="Z134" t="n">
        <v>-0.0285</v>
      </c>
      <c r="AA134" t="n">
        <v>0.041</v>
      </c>
      <c r="AB134" t="n">
        <v>-0.4257863479056025</v>
      </c>
      <c r="AC134" t="n">
        <v>-0.401</v>
      </c>
      <c r="AD134" t="n">
        <v>-0.1387</v>
      </c>
      <c r="AE134" t="n">
        <v>0.1572</v>
      </c>
      <c r="AF134" t="n">
        <v>121.5877728671748</v>
      </c>
      <c r="AG134" t="n">
        <v>120.5991</v>
      </c>
      <c r="AH134" t="n">
        <v>-14.8359</v>
      </c>
      <c r="AI134" t="n">
        <v>17.1209</v>
      </c>
      <c r="AJ134" t="n">
        <v>0.6967560191866534</v>
      </c>
      <c r="AK134" t="n">
        <v>0.8617</v>
      </c>
      <c r="AL134" t="n">
        <v>-0.07539999999999999</v>
      </c>
      <c r="AM134" t="n">
        <v>0.06469999999999999</v>
      </c>
      <c r="AN134" t="n">
        <v>0.3285654087838396</v>
      </c>
      <c r="AO134" t="n">
        <v>0.2954</v>
      </c>
      <c r="AP134" t="n">
        <v>-0.0108</v>
      </c>
      <c r="AQ134" t="n">
        <v>0.0141</v>
      </c>
      <c r="AR134" t="n">
        <v>4.679091709701923</v>
      </c>
      <c r="AS134" t="n">
        <v>4.678</v>
      </c>
      <c r="AT134" t="n">
        <v>-0.0037</v>
      </c>
      <c r="AU134" t="n">
        <v>0.0036</v>
      </c>
      <c r="AV134" t="n">
        <v>-0.2587619823770622</v>
      </c>
      <c r="AW134" t="n">
        <v>-0.2533</v>
      </c>
      <c r="AX134" t="n">
        <v>-0.0195</v>
      </c>
      <c r="AY134" t="n">
        <v>0.0256</v>
      </c>
      <c r="AZ134" t="n">
        <v>-0.0827549886809491</v>
      </c>
      <c r="BA134" t="n">
        <v>-0.1109</v>
      </c>
      <c r="BB134" t="n">
        <v>-0.0376</v>
      </c>
      <c r="BC134" t="n">
        <v>0.0343</v>
      </c>
      <c r="BD134" t="n">
        <v>3.29672840860152</v>
      </c>
      <c r="BE134" t="n">
        <v>2.585</v>
      </c>
      <c r="BF134" t="n">
        <v>-0.8729</v>
      </c>
      <c r="BG134" t="n">
        <v>0.8516</v>
      </c>
    </row>
    <row r="135" ht="27" customHeight="1" s="9">
      <c r="A135" s="3" t="n">
        <v>133</v>
      </c>
      <c r="B135" s="10">
        <f>IFERROR(AVERAGE(F135,L135,I135),"")</f>
        <v/>
      </c>
      <c r="C135" s="11" t="n">
        <v>2</v>
      </c>
      <c r="D135" s="11" t="inlineStr">
        <is>
          <t>B</t>
        </is>
      </c>
      <c r="E135" s="5" t="inlineStr">
        <is>
          <t>B (sky)</t>
        </is>
      </c>
      <c r="F135" s="3" t="n">
        <v>0.8615</v>
      </c>
      <c r="G135" s="4" t="inlineStr">
        <is>
          <t>Hb,O3a,O3b</t>
        </is>
      </c>
      <c r="H135" s="5" t="inlineStr">
        <is>
          <t>B (sky)</t>
        </is>
      </c>
      <c r="I135" s="3" t="n">
        <v>0.8615</v>
      </c>
      <c r="J135" s="4" t="inlineStr">
        <is>
          <t>Hb,O3a,O3b</t>
        </is>
      </c>
      <c r="K135" s="5" t="inlineStr">
        <is>
          <t>A</t>
        </is>
      </c>
      <c r="L135" s="3" t="n">
        <v>0.8615</v>
      </c>
      <c r="M135" s="4" t="inlineStr">
        <is>
          <t>Hb,O3a,O3b</t>
        </is>
      </c>
      <c r="N135" s="6" t="n"/>
      <c r="O135" s="4" t="inlineStr">
        <is>
          <t>Hb,O3b</t>
        </is>
      </c>
      <c r="P135" t="n">
        <v>41.97652</v>
      </c>
      <c r="Q135" t="n">
        <v>-3.5486704</v>
      </c>
      <c r="R135" t="n">
        <v>9.961</v>
      </c>
      <c r="S135" t="n">
        <v>0.076</v>
      </c>
      <c r="T135" t="n">
        <v>0.1147885365273757</v>
      </c>
      <c r="U135" t="n">
        <v>0.011</v>
      </c>
      <c r="V135" t="n">
        <v>0.1088</v>
      </c>
      <c r="W135" t="n">
        <v>-0.0964</v>
      </c>
      <c r="X135" t="n">
        <v>-0.1496012664953219</v>
      </c>
      <c r="Y135" t="n">
        <v>-0.1183</v>
      </c>
      <c r="Z135" t="n">
        <v>0.0238</v>
      </c>
      <c r="AA135" t="n">
        <v>-0.0459</v>
      </c>
      <c r="AB135" t="n">
        <v>-1.173119164745008</v>
      </c>
      <c r="AC135" t="n">
        <v>-1.0062</v>
      </c>
      <c r="AD135" t="n">
        <v>-0.1265</v>
      </c>
      <c r="AE135" t="n">
        <v>0.1697</v>
      </c>
      <c r="AF135" t="n">
        <v>169.6938621447122</v>
      </c>
      <c r="AG135" t="n">
        <v>138.2385</v>
      </c>
      <c r="AH135" t="n">
        <v>-17.3711</v>
      </c>
      <c r="AI135" t="n">
        <v>19.4022</v>
      </c>
      <c r="AJ135" t="n">
        <v>0.3592541664041369</v>
      </c>
      <c r="AK135" t="n">
        <v>0.384</v>
      </c>
      <c r="AL135" t="n">
        <v>-0.0458</v>
      </c>
      <c r="AM135" t="n">
        <v>0.044</v>
      </c>
      <c r="AN135" t="n">
        <v>1.142996986973083</v>
      </c>
      <c r="AO135" t="n">
        <v>1.1121</v>
      </c>
      <c r="AP135" t="n">
        <v>-0.0512</v>
      </c>
      <c r="AQ135" t="n">
        <v>0.0618</v>
      </c>
      <c r="AR135" t="n">
        <v>4.783883312930752</v>
      </c>
      <c r="AS135" t="n">
        <v>4.7826</v>
      </c>
      <c r="AT135" t="n">
        <v>-0.008200000000000001</v>
      </c>
      <c r="AU135" t="n">
        <v>0.008500000000000001</v>
      </c>
      <c r="AV135" t="n">
        <v>-0.2952681301166498</v>
      </c>
      <c r="AW135" t="n">
        <v>-0.2785</v>
      </c>
      <c r="AX135" t="n">
        <v>-0.0167</v>
      </c>
      <c r="AY135" t="n">
        <v>0.0166</v>
      </c>
      <c r="AZ135" t="n">
        <v>-0.005235267476022987</v>
      </c>
      <c r="BA135" t="n">
        <v>-0.0157</v>
      </c>
      <c r="BB135" t="n">
        <v>-0.0142</v>
      </c>
      <c r="BC135" t="n">
        <v>0.0121</v>
      </c>
      <c r="BD135" t="n">
        <v>3.606741365196495</v>
      </c>
      <c r="BE135" t="n">
        <v>3.1216</v>
      </c>
      <c r="BF135" t="n">
        <v>-0.7488</v>
      </c>
      <c r="BG135" t="n">
        <v>0.5899</v>
      </c>
    </row>
    <row r="136" ht="27" customHeight="1" s="9">
      <c r="A136" s="3" t="n">
        <v>134</v>
      </c>
      <c r="B136" s="10">
        <f>IFERROR(AVERAGE(F136,L136,I136),"")</f>
        <v/>
      </c>
      <c r="C136" s="11" t="n"/>
      <c r="D136" s="11" t="inlineStr">
        <is>
          <t>E</t>
        </is>
      </c>
      <c r="E136" s="5" t="inlineStr">
        <is>
          <t>E (fc)</t>
        </is>
      </c>
      <c r="H136" s="5" t="inlineStr">
        <is>
          <t>E (fc)</t>
        </is>
      </c>
      <c r="I136" s="3" t="n"/>
      <c r="K136" s="5" t="inlineStr">
        <is>
          <t>E (fc)</t>
        </is>
      </c>
      <c r="N136" s="6" t="n"/>
      <c r="P136" t="n">
        <v>41.918216</v>
      </c>
      <c r="Q136" t="n">
        <v>-3.5249573</v>
      </c>
    </row>
    <row r="137" ht="27" customHeight="1" s="9">
      <c r="A137" s="3" t="n">
        <v>135</v>
      </c>
      <c r="B137" s="10">
        <f>IFERROR(AVERAGE(F137,L137,I137),"")</f>
        <v/>
      </c>
      <c r="C137" s="11" t="n">
        <v>3</v>
      </c>
      <c r="D137" s="11" t="inlineStr">
        <is>
          <t>A</t>
        </is>
      </c>
      <c r="E137" s="5" t="inlineStr">
        <is>
          <t>A</t>
        </is>
      </c>
      <c r="F137" s="3" t="n">
        <v>0.6225000000000001</v>
      </c>
      <c r="G137" s="4" t="inlineStr">
        <is>
          <t>O3b</t>
        </is>
      </c>
      <c r="H137" s="5" t="inlineStr">
        <is>
          <t>B (sky)</t>
        </is>
      </c>
      <c r="I137" s="3" t="n">
        <v>0.622</v>
      </c>
      <c r="J137" s="4" t="inlineStr">
        <is>
          <t>Hb,O3b</t>
        </is>
      </c>
      <c r="K137" s="5" t="inlineStr">
        <is>
          <t>E (fc)</t>
        </is>
      </c>
      <c r="N137" s="6" t="n"/>
      <c r="P137" t="n">
        <v>41.9273</v>
      </c>
      <c r="Q137" t="n">
        <v>-3.5324781</v>
      </c>
      <c r="R137" t="n">
        <v>9.733000000000001</v>
      </c>
      <c r="S137" t="n">
        <v>0.063</v>
      </c>
      <c r="T137" t="n">
        <v>-0.07737795349245351</v>
      </c>
      <c r="U137" t="n">
        <v>-0.0394</v>
      </c>
      <c r="V137" t="n">
        <v>-0.0349</v>
      </c>
      <c r="W137" t="n">
        <v>0.041</v>
      </c>
      <c r="X137" t="n">
        <v>0.04541646051089113</v>
      </c>
      <c r="Y137" t="n">
        <v>0.0915</v>
      </c>
      <c r="Z137" t="n">
        <v>-0.0339</v>
      </c>
      <c r="AA137" t="n">
        <v>0.0352</v>
      </c>
      <c r="AB137" t="n">
        <v>1.929075705316659</v>
      </c>
      <c r="AC137" t="n">
        <v>1.9555</v>
      </c>
      <c r="AD137" t="n">
        <v>-0.0512</v>
      </c>
      <c r="AE137" t="n">
        <v>0.0518</v>
      </c>
      <c r="AF137" t="n">
        <v>136.3077718730156</v>
      </c>
      <c r="AG137" t="n">
        <v>117.2231</v>
      </c>
      <c r="AH137" t="n">
        <v>-12.0819</v>
      </c>
      <c r="AI137" t="n">
        <v>14.5599</v>
      </c>
      <c r="AJ137" t="n">
        <v>0.8328946276769899</v>
      </c>
      <c r="AK137" t="n">
        <v>0.7379</v>
      </c>
      <c r="AL137" t="n">
        <v>-0.0721</v>
      </c>
      <c r="AM137" t="n">
        <v>0.0722</v>
      </c>
      <c r="AN137" t="n">
        <v>0.7703203417175872</v>
      </c>
      <c r="AO137" t="n">
        <v>0.8161</v>
      </c>
      <c r="AP137" t="n">
        <v>-0.0369</v>
      </c>
      <c r="AQ137" t="n">
        <v>0.0436</v>
      </c>
      <c r="AR137" t="n">
        <v>4.755258000853836</v>
      </c>
      <c r="AS137" t="n">
        <v>4.7558</v>
      </c>
      <c r="AT137" t="n">
        <v>-0.0075</v>
      </c>
      <c r="AU137" t="n">
        <v>0.0077</v>
      </c>
      <c r="AV137" t="n">
        <v>0.1896751289243743</v>
      </c>
      <c r="AW137" t="n">
        <v>0.1953</v>
      </c>
      <c r="AX137" t="n">
        <v>-0.0141</v>
      </c>
      <c r="AY137" t="n">
        <v>0.0145</v>
      </c>
      <c r="AZ137" t="n">
        <v>0.09746476371024171</v>
      </c>
      <c r="BA137" t="n">
        <v>0.0837</v>
      </c>
      <c r="BB137" t="n">
        <v>-0.0143</v>
      </c>
      <c r="BC137" t="n">
        <v>0.0154</v>
      </c>
      <c r="BD137" t="n">
        <v>0.1098117620714914</v>
      </c>
      <c r="BE137" t="n">
        <v>0.1747</v>
      </c>
      <c r="BF137" t="n">
        <v>-0.096</v>
      </c>
      <c r="BG137" t="n">
        <v>0.1366</v>
      </c>
    </row>
    <row r="138" ht="27" customHeight="1" s="9">
      <c r="A138" s="3" t="n">
        <v>136</v>
      </c>
      <c r="B138" s="10">
        <f>IFERROR(AVERAGE(F138,L138,I138),"")</f>
        <v/>
      </c>
      <c r="C138" s="11" t="n">
        <v>3</v>
      </c>
      <c r="D138" s="11" t="inlineStr">
        <is>
          <t>A</t>
        </is>
      </c>
      <c r="E138" s="5" t="inlineStr">
        <is>
          <t>A</t>
        </is>
      </c>
      <c r="F138" s="3" t="n">
        <v>0.506</v>
      </c>
      <c r="G138" s="4" t="inlineStr">
        <is>
          <t>O3b</t>
        </is>
      </c>
      <c r="H138" s="5" t="inlineStr">
        <is>
          <t>A</t>
        </is>
      </c>
      <c r="I138" s="3" t="n">
        <v>0.505</v>
      </c>
      <c r="J138" s="4" t="inlineStr">
        <is>
          <t>Hb,O3a,O3b</t>
        </is>
      </c>
      <c r="K138" s="5" t="inlineStr">
        <is>
          <t>A</t>
        </is>
      </c>
      <c r="L138" s="3" t="n">
        <v>0.506</v>
      </c>
      <c r="M138" s="4" t="inlineStr">
        <is>
          <t>O3b</t>
        </is>
      </c>
      <c r="N138" s="6" t="n"/>
      <c r="O138" s="4" t="inlineStr">
        <is>
          <t>Hb,O3a</t>
        </is>
      </c>
      <c r="P138" t="n">
        <v>41.947358</v>
      </c>
      <c r="Q138" t="n">
        <v>-3.5452056</v>
      </c>
      <c r="R138" t="n">
        <v>9.342000000000001</v>
      </c>
      <c r="S138" t="n">
        <v>0.08699999999999999</v>
      </c>
      <c r="T138" t="n">
        <v>0.1242809460128934</v>
      </c>
      <c r="U138" t="n">
        <v>0.128</v>
      </c>
      <c r="V138" t="n">
        <v>0.0308</v>
      </c>
      <c r="W138" t="n">
        <v>-0.0162</v>
      </c>
      <c r="X138" t="n">
        <v>0.1038465554874593</v>
      </c>
      <c r="Y138" t="n">
        <v>0.0867</v>
      </c>
      <c r="Z138" t="n">
        <v>-0.0415</v>
      </c>
      <c r="AA138" t="n">
        <v>0.0403</v>
      </c>
      <c r="AB138" t="n">
        <v>-0.4926182761243281</v>
      </c>
      <c r="AC138" t="n">
        <v>-0.4829</v>
      </c>
      <c r="AD138" t="n">
        <v>-0.0789</v>
      </c>
      <c r="AE138" t="n">
        <v>0.0837</v>
      </c>
      <c r="AF138" t="n">
        <v>88.7560765446968</v>
      </c>
      <c r="AG138" t="n">
        <v>92.2153</v>
      </c>
      <c r="AH138" t="n">
        <v>-11.7053</v>
      </c>
      <c r="AI138" t="n">
        <v>13.4438</v>
      </c>
      <c r="AJ138" t="n">
        <v>0.7241344500365754</v>
      </c>
      <c r="AK138" t="n">
        <v>0.7412</v>
      </c>
      <c r="AL138" t="n">
        <v>-0.06419999999999999</v>
      </c>
      <c r="AM138" t="n">
        <v>0.0712</v>
      </c>
      <c r="AN138" t="n">
        <v>0.2958077050753386</v>
      </c>
      <c r="AO138" t="n">
        <v>0.2923</v>
      </c>
      <c r="AP138" t="n">
        <v>-0.0129</v>
      </c>
      <c r="AQ138" t="n">
        <v>0.0135</v>
      </c>
      <c r="AR138" t="n">
        <v>4.584222001233849</v>
      </c>
      <c r="AS138" t="n">
        <v>4.5843</v>
      </c>
      <c r="AT138" t="n">
        <v>-0.0043</v>
      </c>
      <c r="AU138" t="n">
        <v>0.0045</v>
      </c>
      <c r="AV138" t="n">
        <v>-0.6926143146725752</v>
      </c>
      <c r="AW138" t="n">
        <v>-0.6925</v>
      </c>
      <c r="AX138" t="n">
        <v>-0.0222</v>
      </c>
      <c r="AY138" t="n">
        <v>0.0201</v>
      </c>
      <c r="AZ138" t="n">
        <v>-0.08787650103890732</v>
      </c>
      <c r="BA138" t="n">
        <v>-0.0927</v>
      </c>
      <c r="BB138" t="n">
        <v>-0.0469</v>
      </c>
      <c r="BC138" t="n">
        <v>0.0457</v>
      </c>
      <c r="BD138" t="n">
        <v>2.370198787271998</v>
      </c>
      <c r="BE138" t="n">
        <v>2.3218</v>
      </c>
      <c r="BF138" t="n">
        <v>-0.6859</v>
      </c>
      <c r="BG138" t="n">
        <v>0.7749</v>
      </c>
    </row>
    <row r="139" ht="27" customHeight="1" s="9">
      <c r="A139" s="3" t="n">
        <v>137</v>
      </c>
      <c r="B139" s="10">
        <f>IFERROR(AVERAGE(F139,L139,I139),"")</f>
        <v/>
      </c>
      <c r="C139" s="11" t="n"/>
      <c r="D139" s="11" t="inlineStr">
        <is>
          <t>E</t>
        </is>
      </c>
      <c r="E139" s="5" t="inlineStr">
        <is>
          <t>E (fc)</t>
        </is>
      </c>
      <c r="H139" s="5" t="inlineStr">
        <is>
          <t>E (fc)</t>
        </is>
      </c>
      <c r="I139" s="3" t="n"/>
      <c r="K139" s="5" t="inlineStr">
        <is>
          <t>E (fc)</t>
        </is>
      </c>
      <c r="N139" s="6" t="n"/>
      <c r="P139" t="n">
        <v>41.921956</v>
      </c>
      <c r="Q139" t="n">
        <v>-3.5387636</v>
      </c>
    </row>
    <row r="140" ht="27" customHeight="1" s="9">
      <c r="A140" s="3" t="n">
        <v>138</v>
      </c>
      <c r="B140" s="10">
        <f>IFERROR(AVERAGE(F140,L140,I140),"")</f>
        <v/>
      </c>
      <c r="C140" s="11" t="n">
        <v>3</v>
      </c>
      <c r="D140" s="11" t="inlineStr">
        <is>
          <t>A</t>
        </is>
      </c>
      <c r="E140" s="5" t="inlineStr">
        <is>
          <t>A</t>
        </is>
      </c>
      <c r="F140" s="3" t="n">
        <v>0.6195000000000001</v>
      </c>
      <c r="G140" s="4" t="inlineStr">
        <is>
          <t>Hb,O3a,O3b</t>
        </is>
      </c>
      <c r="H140" s="5" t="inlineStr">
        <is>
          <t>A</t>
        </is>
      </c>
      <c r="I140" s="3" t="n">
        <v>0.62</v>
      </c>
      <c r="J140" s="4" t="inlineStr">
        <is>
          <t>Hb,O3a,O3b</t>
        </is>
      </c>
      <c r="K140" s="5" t="inlineStr">
        <is>
          <t>A</t>
        </is>
      </c>
      <c r="L140" s="3" t="n">
        <v>0.6205000000000001</v>
      </c>
      <c r="M140" s="4" t="inlineStr">
        <is>
          <t>O3a,O3b</t>
        </is>
      </c>
      <c r="N140" s="6" t="n"/>
      <c r="O140" s="4" t="inlineStr">
        <is>
          <t>Hb,O3a</t>
        </is>
      </c>
      <c r="P140" t="n">
        <v>41.875353</v>
      </c>
      <c r="Q140" t="n">
        <v>-3.5202668</v>
      </c>
      <c r="R140" t="n">
        <v>9.257999999999999</v>
      </c>
      <c r="S140" t="n">
        <v>0.119</v>
      </c>
      <c r="T140" t="n">
        <v>0.106696597360488</v>
      </c>
      <c r="U140" t="n">
        <v>0.1044</v>
      </c>
      <c r="V140" t="n">
        <v>0.0393</v>
      </c>
      <c r="W140" t="n">
        <v>-0.0305</v>
      </c>
      <c r="X140" t="n">
        <v>0.1162216974287159</v>
      </c>
      <c r="Y140" t="n">
        <v>0.1309</v>
      </c>
      <c r="Z140" t="n">
        <v>0.0177</v>
      </c>
      <c r="AA140" t="n">
        <v>-0.0132</v>
      </c>
      <c r="AB140" t="n">
        <v>-0.1938562155387791</v>
      </c>
      <c r="AC140" t="n">
        <v>-0.219</v>
      </c>
      <c r="AD140" t="n">
        <v>-0.0196</v>
      </c>
      <c r="AE140" t="n">
        <v>0.0197</v>
      </c>
      <c r="AF140" t="n">
        <v>210.4724904160182</v>
      </c>
      <c r="AG140" t="n">
        <v>175.1943</v>
      </c>
      <c r="AH140" t="n">
        <v>-10.4223</v>
      </c>
      <c r="AI140" t="n">
        <v>9.644399999999999</v>
      </c>
      <c r="AJ140" t="n">
        <v>0.4185491511075023</v>
      </c>
      <c r="AK140" t="n">
        <v>0.4255</v>
      </c>
      <c r="AL140" t="n">
        <v>-0.0371</v>
      </c>
      <c r="AM140" t="n">
        <v>0.0333</v>
      </c>
      <c r="AN140" t="n">
        <v>0.9149186920193817</v>
      </c>
      <c r="AO140" t="n">
        <v>0.9108000000000001</v>
      </c>
      <c r="AP140" t="n">
        <v>-0.0336</v>
      </c>
      <c r="AQ140" t="n">
        <v>0.0418</v>
      </c>
      <c r="AR140" t="n">
        <v>4.466432408516924</v>
      </c>
      <c r="AS140" t="n">
        <v>4.4702</v>
      </c>
      <c r="AT140" t="n">
        <v>-0.008200000000000001</v>
      </c>
      <c r="AU140" t="n">
        <v>0.008500000000000001</v>
      </c>
      <c r="AV140" t="n">
        <v>-0.1715873572003703</v>
      </c>
      <c r="AW140" t="n">
        <v>-0.1821</v>
      </c>
      <c r="AX140" t="n">
        <v>-0.0152</v>
      </c>
      <c r="AY140" t="n">
        <v>0.0155</v>
      </c>
      <c r="AZ140" t="n">
        <v>-0.09547090741221198</v>
      </c>
      <c r="BA140" t="n">
        <v>-0.0953</v>
      </c>
      <c r="BB140" t="n">
        <v>-0.0103</v>
      </c>
      <c r="BC140" t="n">
        <v>0.0111</v>
      </c>
      <c r="BD140" t="n">
        <v>1.221137474297838</v>
      </c>
      <c r="BE140" t="n">
        <v>0.9006999999999999</v>
      </c>
      <c r="BF140" t="n">
        <v>-0.1005</v>
      </c>
      <c r="BG140" t="n">
        <v>0.1112</v>
      </c>
    </row>
    <row r="141" ht="27" customHeight="1" s="9">
      <c r="A141" s="3" t="n">
        <v>139</v>
      </c>
      <c r="B141" s="10">
        <f>IFERROR(AVERAGE(F141,L141,I141),"")</f>
        <v/>
      </c>
      <c r="C141" s="11" t="n">
        <v>3</v>
      </c>
      <c r="D141" s="11" t="inlineStr">
        <is>
          <t>A</t>
        </is>
      </c>
      <c r="E141" s="5" t="inlineStr">
        <is>
          <t>B (sky)</t>
        </is>
      </c>
      <c r="F141" s="3" t="n">
        <v>0.7645</v>
      </c>
      <c r="G141" s="4" t="inlineStr">
        <is>
          <t>Hb,O3a,O3b</t>
        </is>
      </c>
      <c r="H141" s="5" t="inlineStr">
        <is>
          <t>A</t>
        </is>
      </c>
      <c r="I141" s="3" t="n">
        <v>0.765</v>
      </c>
      <c r="J141" s="4" t="inlineStr">
        <is>
          <t>Hb,O3a,O3b</t>
        </is>
      </c>
      <c r="K141" s="5" t="inlineStr">
        <is>
          <t>A</t>
        </is>
      </c>
      <c r="L141" s="3" t="n">
        <v>0.766</v>
      </c>
      <c r="M141" s="4" t="inlineStr">
        <is>
          <t>Hb,O3b</t>
        </is>
      </c>
      <c r="N141" s="6" t="n"/>
      <c r="O141" s="4" t="inlineStr">
        <is>
          <t>O3a</t>
        </is>
      </c>
      <c r="P141" t="n">
        <v>41.932598</v>
      </c>
      <c r="Q141" t="n">
        <v>-3.5497617</v>
      </c>
      <c r="R141" t="n">
        <v>10.01</v>
      </c>
      <c r="S141" t="n">
        <v>0.074</v>
      </c>
      <c r="T141" t="n">
        <v>-0.1464181835058294</v>
      </c>
      <c r="U141" t="n">
        <v>-0.0969</v>
      </c>
      <c r="V141" t="n">
        <v>-0.0304</v>
      </c>
      <c r="W141" t="n">
        <v>0.0364</v>
      </c>
      <c r="X141" t="n">
        <v>-0.1462428972900113</v>
      </c>
      <c r="Y141" t="n">
        <v>-0.1303</v>
      </c>
      <c r="Z141" t="n">
        <v>0.0137</v>
      </c>
      <c r="AA141" t="n">
        <v>-0.0219</v>
      </c>
      <c r="AB141" t="n">
        <v>0.2693192344018218</v>
      </c>
      <c r="AC141" t="n">
        <v>0.2931</v>
      </c>
      <c r="AD141" t="n">
        <v>-0.0164</v>
      </c>
      <c r="AE141" t="n">
        <v>0.017</v>
      </c>
      <c r="AF141" t="n">
        <v>355.2122926005845</v>
      </c>
      <c r="AG141" t="n">
        <v>298.3471</v>
      </c>
      <c r="AH141" t="n">
        <v>-13.2706</v>
      </c>
      <c r="AI141" t="n">
        <v>13.1631</v>
      </c>
      <c r="AJ141" t="n">
        <v>0.3226863631073273</v>
      </c>
      <c r="AK141" t="n">
        <v>0.361</v>
      </c>
      <c r="AL141" t="n">
        <v>-0.0257</v>
      </c>
      <c r="AM141" t="n">
        <v>0.036</v>
      </c>
      <c r="AN141" t="n">
        <v>1.21266237688729</v>
      </c>
      <c r="AO141" t="n">
        <v>1.1601</v>
      </c>
      <c r="AP141" t="n">
        <v>-0.0464</v>
      </c>
      <c r="AQ141" t="n">
        <v>0.0406</v>
      </c>
      <c r="AR141" t="n">
        <v>4.781369649558186</v>
      </c>
      <c r="AS141" t="n">
        <v>4.7868</v>
      </c>
      <c r="AT141" t="n">
        <v>-0.0067</v>
      </c>
      <c r="AU141" t="n">
        <v>0.0071</v>
      </c>
      <c r="AV141" t="n">
        <v>-0.04538278623765724</v>
      </c>
      <c r="AW141" t="n">
        <v>-0.0494</v>
      </c>
      <c r="AX141" t="n">
        <v>-0.0123</v>
      </c>
      <c r="AY141" t="n">
        <v>0.0126</v>
      </c>
      <c r="AZ141" t="n">
        <v>-0.07539605112183523</v>
      </c>
      <c r="BA141" t="n">
        <v>-0.0806</v>
      </c>
      <c r="BB141" t="n">
        <v>-0.008200000000000001</v>
      </c>
      <c r="BC141" t="n">
        <v>0.007</v>
      </c>
      <c r="BD141" t="n">
        <v>2.11417544133009</v>
      </c>
      <c r="BE141" t="n">
        <v>1.5594</v>
      </c>
      <c r="BF141" t="n">
        <v>-0.1348</v>
      </c>
      <c r="BG141" t="n">
        <v>0.1246</v>
      </c>
    </row>
    <row r="142" ht="27" customHeight="1" s="9">
      <c r="A142" s="3" t="n">
        <v>140</v>
      </c>
      <c r="B142" s="10">
        <f>IFERROR(AVERAGE(F142,L142,I142),"")</f>
        <v/>
      </c>
      <c r="C142" s="11" t="n"/>
      <c r="D142" s="11" t="inlineStr">
        <is>
          <t>D</t>
        </is>
      </c>
      <c r="E142" s="5" t="inlineStr">
        <is>
          <t>D (gc)</t>
        </is>
      </c>
      <c r="H142" s="5" t="inlineStr">
        <is>
          <t>D (gc)</t>
        </is>
      </c>
      <c r="I142" s="3" t="n"/>
      <c r="K142" s="5" t="inlineStr">
        <is>
          <t>D (gc)</t>
        </is>
      </c>
      <c r="N142" s="6" t="n"/>
      <c r="P142" t="n">
        <v>41.934358</v>
      </c>
      <c r="Q142" t="n">
        <v>-3.5550568</v>
      </c>
    </row>
    <row r="143" ht="27" customHeight="1" s="9">
      <c r="A143" s="3" t="n">
        <v>141</v>
      </c>
      <c r="B143" s="10">
        <f>IFERROR(AVERAGE(F143,L143,I143),"")</f>
        <v/>
      </c>
      <c r="C143" s="11" t="n">
        <v>3</v>
      </c>
      <c r="D143" s="11" t="inlineStr">
        <is>
          <t>B</t>
        </is>
      </c>
      <c r="E143" s="5" t="inlineStr">
        <is>
          <t>E (fc)</t>
        </is>
      </c>
      <c r="H143" s="5" t="inlineStr">
        <is>
          <t>B (sky)</t>
        </is>
      </c>
      <c r="I143" s="3" t="n">
        <v>0.62</v>
      </c>
      <c r="J143" s="4" t="inlineStr">
        <is>
          <t>O3b</t>
        </is>
      </c>
      <c r="K143" s="5" t="inlineStr">
        <is>
          <t>B (sky)</t>
        </is>
      </c>
      <c r="L143" s="3" t="n">
        <v>0.62</v>
      </c>
      <c r="M143" s="4" t="inlineStr">
        <is>
          <t>Hb,O3b</t>
        </is>
      </c>
      <c r="N143" s="6" t="n"/>
      <c r="P143" t="n">
        <v>41.8923</v>
      </c>
      <c r="Q143" t="n">
        <v>-3.5398469</v>
      </c>
      <c r="R143" t="n">
        <v>9.914999999999999</v>
      </c>
      <c r="S143" t="n">
        <v>0.026</v>
      </c>
      <c r="T143" t="n">
        <v>-0.0568052204233991</v>
      </c>
      <c r="U143" t="n">
        <v>-0.07190000000000001</v>
      </c>
      <c r="V143" t="n">
        <v>-0.0498</v>
      </c>
      <c r="W143" t="n">
        <v>0.0322</v>
      </c>
      <c r="X143" t="n">
        <v>-0.03170665899242031</v>
      </c>
      <c r="Y143" t="n">
        <v>-0.0301</v>
      </c>
      <c r="Z143" t="n">
        <v>-0.0256</v>
      </c>
      <c r="AA143" t="n">
        <v>0.0162</v>
      </c>
      <c r="AB143" t="n">
        <v>0.2050376893852843</v>
      </c>
      <c r="AC143" t="n">
        <v>0.1925</v>
      </c>
      <c r="AD143" t="n">
        <v>-0.1043</v>
      </c>
      <c r="AE143" t="n">
        <v>0.1114</v>
      </c>
      <c r="AF143" t="n">
        <v>107.324605686847</v>
      </c>
      <c r="AG143" t="n">
        <v>126.3769</v>
      </c>
      <c r="AH143" t="n">
        <v>-14.9876</v>
      </c>
      <c r="AI143" t="n">
        <v>16.9637</v>
      </c>
      <c r="AJ143" t="n">
        <v>0.8976960036180666</v>
      </c>
      <c r="AK143" t="n">
        <v>0.8672</v>
      </c>
      <c r="AL143" t="n">
        <v>-0.091</v>
      </c>
      <c r="AM143" t="n">
        <v>0.0631</v>
      </c>
      <c r="AN143" t="n">
        <v>0.5642031330724138</v>
      </c>
      <c r="AO143" t="n">
        <v>0.5767</v>
      </c>
      <c r="AP143" t="n">
        <v>-0.02</v>
      </c>
      <c r="AQ143" t="n">
        <v>0.0309</v>
      </c>
      <c r="AR143" t="n">
        <v>4.876793094798187</v>
      </c>
      <c r="AS143" t="n">
        <v>4.8795</v>
      </c>
      <c r="AT143" t="n">
        <v>-0.0036</v>
      </c>
      <c r="AU143" t="n">
        <v>0.0035</v>
      </c>
      <c r="AV143" t="n">
        <v>-0.2067663912626665</v>
      </c>
      <c r="AW143" t="n">
        <v>-0.2114</v>
      </c>
      <c r="AX143" t="n">
        <v>-0.0507</v>
      </c>
      <c r="AY143" t="n">
        <v>0.0571</v>
      </c>
      <c r="AZ143" t="n">
        <v>-0.4519347421733744</v>
      </c>
      <c r="BA143" t="n">
        <v>-0.426</v>
      </c>
      <c r="BB143" t="n">
        <v>-0.0423</v>
      </c>
      <c r="BC143" t="n">
        <v>0.0459</v>
      </c>
      <c r="BD143" t="n">
        <v>0.6081794815835192</v>
      </c>
      <c r="BE143" t="n">
        <v>1.0037</v>
      </c>
      <c r="BF143" t="n">
        <v>-0.4296</v>
      </c>
      <c r="BG143" t="n">
        <v>0.6594</v>
      </c>
    </row>
    <row r="144" ht="27" customHeight="1" s="9">
      <c r="A144" s="3" t="n">
        <v>142</v>
      </c>
      <c r="B144" s="10">
        <f>IFERROR(AVERAGE(F144,L144,I144),"")</f>
        <v/>
      </c>
      <c r="C144" s="11" t="n"/>
      <c r="D144" s="11" t="inlineStr">
        <is>
          <t>F</t>
        </is>
      </c>
      <c r="E144" s="5" t="inlineStr">
        <is>
          <t>F (ns)</t>
        </is>
      </c>
      <c r="H144" s="5" t="inlineStr">
        <is>
          <t>F (ns)</t>
        </is>
      </c>
      <c r="I144" s="3" t="n"/>
      <c r="K144" s="5" t="inlineStr">
        <is>
          <t>F (ns)</t>
        </is>
      </c>
      <c r="N144" s="6" t="n"/>
      <c r="P144" t="n">
        <v>41.937261</v>
      </c>
      <c r="Q144" t="n">
        <v>-3.5681355</v>
      </c>
    </row>
  </sheetData>
  <conditionalFormatting sqref="B3:C144">
    <cfRule type="containsBlanks" priority="8" dxfId="0">
      <formula>LEN(TRIM(B3))=0</formula>
    </cfRule>
  </conditionalFormatting>
  <conditionalFormatting sqref="D3:D144">
    <cfRule type="expression" priority="1" dxfId="4">
      <formula>OR(D3="C", D3="D", D3="E", D3="F")</formula>
    </cfRule>
  </conditionalFormatting>
  <conditionalFormatting sqref="E3:M144">
    <cfRule type="cellIs" priority="4" operator="equal" dxfId="2">
      <formula>"C (cs)"</formula>
    </cfRule>
    <cfRule type="cellIs" priority="5" operator="equal" dxfId="2">
      <formula>"D (gc)"</formula>
    </cfRule>
    <cfRule type="cellIs" priority="6" operator="equal" dxfId="0">
      <formula>"E (fc)"</formula>
    </cfRule>
    <cfRule type="cellIs" priority="7" operator="equal" dxfId="0">
      <formula>"F (ns)"</formula>
    </cfRule>
  </conditionalFormatting>
  <pageMargins left="0.7" right="0.7" top="0.75" bottom="0.75" header="0.3" footer="0.3"/>
  <pageSetup orientation="portrait" horizontalDpi="1200" verticalDpi="12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D1" sqref="D1"/>
    </sheetView>
  </sheetViews>
  <sheetFormatPr baseColWidth="8" defaultColWidth="8.796875" defaultRowHeight="18.75"/>
  <cols>
    <col width="6.3984375" bestFit="1" customWidth="1" style="1" min="1" max="1"/>
    <col width="8.3984375" bestFit="1" customWidth="1" style="1" min="2" max="2"/>
    <col width="8.796875" customWidth="1" style="1" min="3" max="3"/>
    <col width="12.8984375" bestFit="1" customWidth="1" style="1" min="4" max="4"/>
    <col width="8.796875" customWidth="1" style="1" min="5" max="16384"/>
  </cols>
  <sheetData>
    <row r="1">
      <c r="A1" s="2" t="inlineStr">
        <is>
          <t>conf</t>
        </is>
      </c>
      <c r="B1" s="2" t="inlineStr">
        <is>
          <t>amount</t>
        </is>
      </c>
      <c r="D1" s="2" t="inlineStr">
        <is>
          <t>spec_quality</t>
        </is>
      </c>
      <c r="E1" s="2" t="inlineStr">
        <is>
          <t>amount</t>
        </is>
      </c>
    </row>
    <row r="2">
      <c r="A2" s="2" t="n">
        <v>1</v>
      </c>
      <c r="B2" s="2">
        <f>COUNTIF(redshift_table!C3:C144, "")</f>
        <v/>
      </c>
      <c r="D2" s="2" t="inlineStr">
        <is>
          <t>A</t>
        </is>
      </c>
      <c r="E2" s="2">
        <f>COUNTIF(redshift_table!D3:D144, "A")</f>
        <v/>
      </c>
    </row>
    <row r="3">
      <c r="A3" s="2" t="n">
        <v>2</v>
      </c>
      <c r="B3" s="2">
        <f>COUNTIF(redshift_table!C:C, 2)</f>
        <v/>
      </c>
      <c r="D3" s="2" t="inlineStr">
        <is>
          <t>AS</t>
        </is>
      </c>
      <c r="E3" s="2">
        <f>COUNTIF(redshift_table!D3:D144, "AS")</f>
        <v/>
      </c>
    </row>
    <row r="4">
      <c r="A4" s="2" t="n">
        <v>3</v>
      </c>
      <c r="B4" s="2">
        <f>COUNTIF(redshift_table!C:C, 3)</f>
        <v/>
      </c>
      <c r="D4" s="2" t="inlineStr">
        <is>
          <t>B</t>
        </is>
      </c>
      <c r="E4" s="2">
        <f>COUNTIF(redshift_table!D3:D144, "B")</f>
        <v/>
      </c>
    </row>
    <row r="5">
      <c r="D5" s="1" t="inlineStr">
        <is>
          <t>BS</t>
        </is>
      </c>
      <c r="E5" s="2">
        <f>COUNTIF(redshift_table!D3:D144, "BS")</f>
        <v/>
      </c>
    </row>
    <row r="6">
      <c r="D6" s="1" t="inlineStr">
        <is>
          <t>C</t>
        </is>
      </c>
      <c r="E6" s="2">
        <f>COUNTIF(redshift_table!D3:D144, "C")</f>
        <v/>
      </c>
    </row>
    <row r="7">
      <c r="D7" s="1" t="inlineStr">
        <is>
          <t>D</t>
        </is>
      </c>
      <c r="E7" s="2">
        <f>COUNTIF(redshift_table!D3:D144, "D")</f>
        <v/>
      </c>
    </row>
    <row r="8">
      <c r="D8" s="1" t="inlineStr">
        <is>
          <t>E</t>
        </is>
      </c>
      <c r="E8" s="2">
        <f>COUNTIF(redshift_table!D3:D144, "E")</f>
        <v/>
      </c>
    </row>
    <row r="9">
      <c r="D9" s="1" t="inlineStr">
        <is>
          <t>F</t>
        </is>
      </c>
      <c r="E9" s="2">
        <f>COUNTIF(redshift_table!D3:D144, "F")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14477</dc:creator>
  <dcterms:created xsi:type="dcterms:W3CDTF">2025-06-14T09:03:30Z</dcterms:created>
  <dcterms:modified xsi:type="dcterms:W3CDTF">2026-06-23T03:23:38Z</dcterms:modified>
  <cp:lastModifiedBy>Di, Jiyun - (jiyundi)</cp:lastModifiedBy>
</cp:coreProperties>
</file>